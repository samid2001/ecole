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isez-moi" sheetId="1" state="visible" r:id="rId3"/>
    <sheet name="Prospects" sheetId="2" state="visible" r:id="rId4"/>
    <sheet name="Écartées (site trouvé)" sheetId="3" state="visible" r:id="rId5"/>
    <sheet name="Non vérifiées" sheetId="4" state="visible" r:id="rId6"/>
  </sheets>
  <definedNames>
    <definedName function="false" hidden="true" localSheetId="2" name="_xlnm._FilterDatabase" vbProcedure="false">'Écartées (site trouvé)'!$A$1:$J$75</definedName>
    <definedName function="false" hidden="true" localSheetId="1" name="_xlnm._FilterDatabase" vbProcedure="false">Prospects!$A$1:$O$52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<sst xmlns="http://schemas.openxmlformats.org/spreadsheetml/2006/main" count="1398" uniqueCount="772">
  <si>
    <t xml:space="preserve">Prospects Bordeaux Métropole sans site web</t>
  </si>
  <si>
    <t xml:space="preserve">Mis à jour le</t>
  </si>
  <si>
    <t xml:space="preserve">20 octobre 2026 (lot 1 : 19/10, lot 2 : 20/10)</t>
  </si>
  <si>
    <t xml:space="preserve">RÉSUMÉ</t>
  </si>
  <si>
    <t xml:space="preserve">Prospects sans site web (onglet Prospects)</t>
  </si>
  <si>
    <t xml:space="preserve">dont « Aucun site trouvé »</t>
  </si>
  <si>
    <t xml:space="preserve">dont « Incertain » (à vérifier)</t>
  </si>
  <si>
    <t xml:space="preserve">Entreprises écartées (site trouvé ou à éviter)</t>
  </si>
  <si>
    <t xml:space="preserve">Entreprises non vérifiées</t>
  </si>
  <si>
    <t xml:space="preserve">CRITÈRES DE SÉLECTION</t>
  </si>
  <si>
    <t xml:space="preserve">Zone</t>
  </si>
  <si>
    <t xml:space="preserve">Siège social dans Bordeaux Métropole (EPCI 243300316)</t>
  </si>
  <si>
    <t xml:space="preserve">Effectif</t>
  </si>
  <si>
    <t xml:space="preserve">Tranches INSEE 10-19 et 20-49 salariés (pas de tranche 10-30 dans les données publiques)</t>
  </si>
  <si>
    <t xml:space="preserve">Type</t>
  </si>
  <si>
    <t xml:space="preserve">PME indépendantes : au plus 3 établissements ouverts, catégorie PME</t>
  </si>
  <si>
    <t xml:space="preserve">Secteurs couverts</t>
  </si>
  <si>
    <t xml:space="preserve">BTP (section F), cabinets comptables et juridiques (69.10Z, 69.20Z). Le commerce n'a donné presque aucun résultat exploitable dans l'échantillon.</t>
  </si>
  <si>
    <t xml:space="preserve">MÉTHODE « SITE WEB »</t>
  </si>
  <si>
    <t xml:space="preserve">Comment</t>
  </si>
  <si>
    <t xml:space="preserve">Recherche web du nom + commune, en excluant les annuaires (societe.com, Pappers, PagesJaunes...). « Aucun trouvé » = seuls des annuaires apparaissent.</t>
  </si>
  <si>
    <t xml:space="preserve">Limite</t>
  </si>
  <si>
    <t xml:space="preserve">Une recherche peut rater un site mal référencé. Vérifie en 30 secondes avant d'appeler : une entreprise qui a déjà un site mais qui le trouve mauvais reste aussi un prospect.</t>
  </si>
  <si>
    <t xml:space="preserve">COMMENT UTILISER L'ONGLET PROSPECTS</t>
  </si>
  <si>
    <t xml:space="preserve">Colonnes jaunes</t>
  </si>
  <si>
    <t xml:space="preserve">À remplir par toi : Statut (liste déroulante), Date de contact, Interlocuteur, Notes</t>
  </si>
  <si>
    <t xml:space="preserve">Exemple de saisie</t>
  </si>
  <si>
    <t xml:space="preserve">Statut : RDV pris | Date : 05/11/2026 | Interlocuteur : gérant | Notes : stocke ses devis sur clé USB, intéressé par le partage avec les chefs de chantier</t>
  </si>
  <si>
    <t xml:space="preserve">SOURCES</t>
  </si>
  <si>
    <t xml:space="preserve">Données entreprises</t>
  </si>
  <si>
    <t xml:space="preserve">API Recherche d'entreprises (data.gouv.fr) : https://recherche-entreprises.api.gouv.fr</t>
  </si>
  <si>
    <t xml:space="preserve">Fiche de chaque entreprise</t>
  </si>
  <si>
    <t xml:space="preserve">Lien « Fiche officielle » vers annuaire-entreprises.data.gouv.fr</t>
  </si>
  <si>
    <t xml:space="preserve">Effectifs</t>
  </si>
  <si>
    <t xml:space="preserve">Tranche INSEE la plus récente disponible dans la base (souvent 2023 ou 2024) : l'effectif réel peut avoir changé</t>
  </si>
  <si>
    <t xml:space="preserve">N°</t>
  </si>
  <si>
    <t xml:space="preserve">Lot</t>
  </si>
  <si>
    <t xml:space="preserve">Entreprise</t>
  </si>
  <si>
    <t xml:space="preserve">SIREN</t>
  </si>
  <si>
    <t xml:space="preserve">Secteur (code NAF)</t>
  </si>
  <si>
    <t xml:space="preserve">Commune</t>
  </si>
  <si>
    <t xml:space="preserve">Adresse du siège</t>
  </si>
  <si>
    <t xml:space="preserve">Site web</t>
  </si>
  <si>
    <t xml:space="preserve">Ce que j'ai trouvé</t>
  </si>
  <si>
    <t xml:space="preserve">Fiche officielle</t>
  </si>
  <si>
    <t xml:space="preserve">Statut</t>
  </si>
  <si>
    <t xml:space="preserve">Date de contact</t>
  </si>
  <si>
    <t xml:space="preserve">Interlocuteur</t>
  </si>
  <si>
    <t xml:space="preserve">Notes</t>
  </si>
  <si>
    <t xml:space="preserve">A2MA</t>
  </si>
  <si>
    <t xml:space="preserve">531986610</t>
  </si>
  <si>
    <t xml:space="preserve">Autres travaux d'installation (43.29B)</t>
  </si>
  <si>
    <t xml:space="preserve">10-19</t>
  </si>
  <si>
    <t xml:space="preserve">Cenon</t>
  </si>
  <si>
    <t xml:space="preserve">4 RUE DU PROFESSEUR LANGEVIN 33150 CENON</t>
  </si>
  <si>
    <t xml:space="preserve">Aucun trouvé</t>
  </si>
  <si>
    <t xml:space="preserve">annuaires seulement (kompass, mappy, 118712, indeed)</t>
  </si>
  <si>
    <t xml:space="preserve">https://annuaire-entreprises.data.gouv.fr/entreprise/531986610</t>
  </si>
  <si>
    <t xml:space="preserve">À contacter</t>
  </si>
  <si>
    <t xml:space="preserve">AECF (AECF)</t>
  </si>
  <si>
    <t xml:space="preserve">451113153</t>
  </si>
  <si>
    <t xml:space="preserve">Installation électrique (43.21A)</t>
  </si>
  <si>
    <t xml:space="preserve">20-49</t>
  </si>
  <si>
    <t xml:space="preserve">Villenave-D'Ornon</t>
  </si>
  <si>
    <t xml:space="preserve">1 RUE MARC GAUTHIER 33140 VILLENAVE-D'ORNON</t>
  </si>
  <si>
    <t xml:space="preserve">annuaires seulement (mappy, kompass, 118712, omizi)</t>
  </si>
  <si>
    <t xml:space="preserve">https://annuaire-entreprises.data.gouv.fr/entreprise/451113153</t>
  </si>
  <si>
    <t xml:space="preserve">AQUITAINE BOIS &amp; COFFRAGE (A B C)</t>
  </si>
  <si>
    <t xml:space="preserve">443242755</t>
  </si>
  <si>
    <t xml:space="preserve">Menuiserie bois et PVC (43.32A)</t>
  </si>
  <si>
    <t xml:space="preserve">Le Haillan</t>
  </si>
  <si>
    <t xml:space="preserve">79 RUE DE LA MORANDIERE 33185 LE HAILLAN</t>
  </si>
  <si>
    <t xml:space="preserve">annuaires seulement (e-pro, aeroleads, infobel)</t>
  </si>
  <si>
    <t xml:space="preserve">https://annuaire-entreprises.data.gouv.fr/entreprise/443242755</t>
  </si>
  <si>
    <t xml:space="preserve">BATMAX</t>
  </si>
  <si>
    <t xml:space="preserve">901556381</t>
  </si>
  <si>
    <t xml:space="preserve">Couverture (43.91B)</t>
  </si>
  <si>
    <t xml:space="preserve">Bruges</t>
  </si>
  <si>
    <t xml:space="preserve">10 AVENUE DE TERREFORT 33520 BRUGES</t>
  </si>
  <si>
    <t xml:space="preserve">annuaires seulement (doctrine, kompass) ; en croissance, recrute (France Travail, Glassdoor)</t>
  </si>
  <si>
    <t xml:space="preserve">https://annuaire-entreprises.data.gouv.fr/entreprise/901556381</t>
  </si>
  <si>
    <t xml:space="preserve">BINGOL</t>
  </si>
  <si>
    <t xml:space="preserve">519311252</t>
  </si>
  <si>
    <t xml:space="preserve">Maçonnerie générale et gros œuvre (43.99C)</t>
  </si>
  <si>
    <t xml:space="preserve">16 CHEMIN DES BORIES 33150 CENON</t>
  </si>
  <si>
    <t xml:space="preserve">annuaires seulement (northdata, omizi, creditsafe)</t>
  </si>
  <si>
    <t xml:space="preserve">https://annuaire-entreprises.data.gouv.fr/entreprise/519311252</t>
  </si>
  <si>
    <t xml:space="preserve">BT PIERRE</t>
  </si>
  <si>
    <t xml:space="preserve">804308914</t>
  </si>
  <si>
    <t xml:space="preserve">Martignas-Sur-Jalle</t>
  </si>
  <si>
    <t xml:space="preserve">72 C AVENUE MARTYRS DE LA RESISTANCE 33127 MARTIGNAS-SUR-JALLE</t>
  </si>
  <si>
    <t xml:space="preserve">annuaires seulement ; partenaire Stade Bordelais Rugby</t>
  </si>
  <si>
    <t xml:space="preserve">https://annuaire-entreprises.data.gouv.fr/entreprise/804308914</t>
  </si>
  <si>
    <t xml:space="preserve">BYRITAN AQUITAINE</t>
  </si>
  <si>
    <t xml:space="preserve">807851175</t>
  </si>
  <si>
    <t xml:space="preserve">Revêtement des sols et des murs (43.33Z)</t>
  </si>
  <si>
    <t xml:space="preserve">3 RUE RENE MARTRENCHAR 33150 CENON</t>
  </si>
  <si>
    <t xml:space="preserve">annuaires seulement (revetement-sols.net, infonet) ; voisine du groupe Demonchy (rue René Martrenchar), lien à vérifier</t>
  </si>
  <si>
    <t xml:space="preserve">https://annuaire-entreprises.data.gouv.fr/entreprise/807851175</t>
  </si>
  <si>
    <t xml:space="preserve">CEV CONSTRUCTION</t>
  </si>
  <si>
    <t xml:space="preserve">892320888</t>
  </si>
  <si>
    <t xml:space="preserve">12 RUE CONDORCET 33150 CENON</t>
  </si>
  <si>
    <t xml:space="preserve">annuaires seulement (mon-macon, travaux-publics.net)</t>
  </si>
  <si>
    <t xml:space="preserve">https://annuaire-entreprises.data.gouv.fr/entreprise/892320888</t>
  </si>
  <si>
    <t xml:space="preserve">COULEUR HORIZON</t>
  </si>
  <si>
    <t xml:space="preserve">842294530</t>
  </si>
  <si>
    <t xml:space="preserve">Peinture et vitrerie (43.34Z)</t>
  </si>
  <si>
    <t xml:space="preserve">Begles</t>
  </si>
  <si>
    <t xml:space="preserve">386 B BOULEVARD JEAN-JACQUES BOSC 33130 BEGLES</t>
  </si>
  <si>
    <t xml:space="preserve">annuaires seulement (kompass, La Bonne Boîte, mon-peintre)</t>
  </si>
  <si>
    <t xml:space="preserve">https://annuaire-entreprises.data.gouv.fr/entreprise/842294530</t>
  </si>
  <si>
    <t xml:space="preserve">CVC SOLUTIONS</t>
  </si>
  <si>
    <t xml:space="preserve">841508880</t>
  </si>
  <si>
    <t xml:space="preserve">Installation thermique et climatisation (43.22B)</t>
  </si>
  <si>
    <t xml:space="preserve">Floirac</t>
  </si>
  <si>
    <t xml:space="preserve">21 A RUE ARISTIDE BERGES 33270 FLOIRAC</t>
  </si>
  <si>
    <t xml:space="preserve">annuaires seulement (doctrine, chauffage-et-clim) ; airpac-cvc-33.fr est une autre entreprise</t>
  </si>
  <si>
    <t xml:space="preserve">https://annuaire-entreprises.data.gouv.fr/entreprise/841508880</t>
  </si>
  <si>
    <t xml:space="preserve">DIF CONSTRUCTION</t>
  </si>
  <si>
    <t xml:space="preserve">921899019</t>
  </si>
  <si>
    <t xml:space="preserve">Merignac</t>
  </si>
  <si>
    <t xml:space="preserve">CS 70101 26 AVENUE GUSTAVE EIFFEL 33700 MERIGNAC</t>
  </si>
  <si>
    <t xml:space="preserve">annuaires seulement (travaux.com, travaux-publics.net) ; même adresse qu'ISC Plâtrerie</t>
  </si>
  <si>
    <t xml:space="preserve">https://annuaire-entreprises.data.gouv.fr/entreprise/921899019</t>
  </si>
  <si>
    <t xml:space="preserve">DOMINGUES PEINTURE REVETEMENT (DOMINGUES PEINTURE) (DPR)</t>
  </si>
  <si>
    <t xml:space="preserve">513842823</t>
  </si>
  <si>
    <t xml:space="preserve">Eysines</t>
  </si>
  <si>
    <t xml:space="preserve">22 RUE DU 19 MARS 1962 33320 EYSINES</t>
  </si>
  <si>
    <t xml:space="preserve">annuaires seulement (annuaire mairie d'Eysines, mappy, kompass) ; 16 salariés</t>
  </si>
  <si>
    <t xml:space="preserve">https://annuaire-entreprises.data.gouv.fr/entreprise/513842823</t>
  </si>
  <si>
    <t xml:space="preserve">ENNA BATIMENT</t>
  </si>
  <si>
    <t xml:space="preserve">788677185</t>
  </si>
  <si>
    <t xml:space="preserve">Autres travaux de finition (43.39Z)</t>
  </si>
  <si>
    <t xml:space="preserve">9 RUE LEON MORANE 33700 MERIGNAC</t>
  </si>
  <si>
    <t xml:space="preserve">annuaires seulement (doctrine, dnb, annuaire-mairie, petitfute)</t>
  </si>
  <si>
    <t xml:space="preserve">https://annuaire-entreprises.data.gouv.fr/entreprise/788677185</t>
  </si>
  <si>
    <t xml:space="preserve">ENTREPRISE DE REVETEMENT DE SOL OLIVAR</t>
  </si>
  <si>
    <t xml:space="preserve">321153009</t>
  </si>
  <si>
    <t xml:space="preserve">22 CHEMIN DU MONTEIL 33700 MERIGNAC</t>
  </si>
  <si>
    <t xml:space="preserve">annuaires seulement (mappy, eldo, yelp, poseur-parquet)</t>
  </si>
  <si>
    <t xml:space="preserve">https://annuaire-entreprises.data.gouv.fr/entreprise/321153009</t>
  </si>
  <si>
    <t xml:space="preserve">ENTREPRISE GENERALE DE METALLERIE (E.G.M.) (E.G.M.)</t>
  </si>
  <si>
    <t xml:space="preserve">494627599</t>
  </si>
  <si>
    <t xml:space="preserve">Menuiserie métallique et serrurerie (43.32B)</t>
  </si>
  <si>
    <t xml:space="preserve">48 RUE SAINT-EXUPERY 33320 EYSINES</t>
  </si>
  <si>
    <t xml:space="preserve">annuaires seulement (kompass, mappy, 118712) ; 15 décisions de justice recensées sur doctrine.fr, à regarder avant contact</t>
  </si>
  <si>
    <t xml:space="preserve">https://annuaire-entreprises.data.gouv.fr/entreprise/494627599</t>
  </si>
  <si>
    <t xml:space="preserve">ENTREPRISE SARTHOU</t>
  </si>
  <si>
    <t xml:space="preserve">328887187</t>
  </si>
  <si>
    <t xml:space="preserve">Artigues-Pres-Bordeaux</t>
  </si>
  <si>
    <t xml:space="preserve">71 AVENUE DESCARTES 33370 ARTIGUES-PRES-BORDEAUX</t>
  </si>
  <si>
    <t xml:space="preserve">annuaires seulement (mappy, 118712, doctrine, starofservice)</t>
  </si>
  <si>
    <t xml:space="preserve">https://annuaire-entreprises.data.gouv.fr/entreprise/328887187</t>
  </si>
  <si>
    <t xml:space="preserve">ETABLISSEMENT HOUDUSSE PICARD (ETABLISSEMENT HOUDUSSE PICARD)</t>
  </si>
  <si>
    <t xml:space="preserve">443624697</t>
  </si>
  <si>
    <t xml:space="preserve">14 CHEMIN DU HAUT MADERE 33140 VILLENAVE-D'ORNON</t>
  </si>
  <si>
    <t xml:space="preserve">annuaires seulement (kompass, mappy, ab-couverture)</t>
  </si>
  <si>
    <t xml:space="preserve">https://annuaire-entreprises.data.gouv.fr/entreprise/443624697</t>
  </si>
  <si>
    <t xml:space="preserve">EUROP'ISOLATION</t>
  </si>
  <si>
    <t xml:space="preserve">390662963</t>
  </si>
  <si>
    <t xml:space="preserve">Travaux d'isolation (43.29A)</t>
  </si>
  <si>
    <t xml:space="preserve">ZA DE LA VIEILLE CURE 4 RUE DU PROFESSEUR LANGEVIN 33150 CENON</t>
  </si>
  <si>
    <t xml:space="preserve">annuaires seulement (c-a-cenon, gowork, ville-data)</t>
  </si>
  <si>
    <t xml:space="preserve">https://annuaire-entreprises.data.gouv.fr/entreprise/390662963</t>
  </si>
  <si>
    <t xml:space="preserve">I G C S 33 INSTAL GENIE CLIMAT SANIT</t>
  </si>
  <si>
    <t xml:space="preserve">439840653</t>
  </si>
  <si>
    <t xml:space="preserve">135 COURS VICTOR HUGO 33150 CENON</t>
  </si>
  <si>
    <t xml:space="preserve">annuaires seulement (mappy, dataprospects, c-a-cenon, 118000)</t>
  </si>
  <si>
    <t xml:space="preserve">https://annuaire-entreprises.data.gouv.fr/entreprise/439840653</t>
  </si>
  <si>
    <t xml:space="preserve">I.F.I 2</t>
  </si>
  <si>
    <t xml:space="preserve">791915416</t>
  </si>
  <si>
    <t xml:space="preserve">ZAC DES QUAIS DE FLOIRAC AVENUE JEAN ALFONSEA 33270 FLOIRAC</t>
  </si>
  <si>
    <t xml:space="preserve">annuaires seulement (118712, politologue, mappy)</t>
  </si>
  <si>
    <t xml:space="preserve">https://annuaire-entreprises.data.gouv.fr/entreprise/791915416</t>
  </si>
  <si>
    <t xml:space="preserve">INTARSIA</t>
  </si>
  <si>
    <t xml:space="preserve">501102669</t>
  </si>
  <si>
    <t xml:space="preserve">Talence</t>
  </si>
  <si>
    <t xml:space="preserve">12 RUE ALFRED DE MUSSET 33400 TALENCE</t>
  </si>
  <si>
    <t xml:space="preserve">annuaires seulement (yelp, talence-shopping, pple)</t>
  </si>
  <si>
    <t xml:space="preserve">https://annuaire-entreprises.data.gouv.fr/entreprise/501102669</t>
  </si>
  <si>
    <t xml:space="preserve">ISC PLATRERIE</t>
  </si>
  <si>
    <t xml:space="preserve">842979338</t>
  </si>
  <si>
    <t xml:space="preserve">Travaux de plâtrerie (43.31Z)</t>
  </si>
  <si>
    <t xml:space="preserve">26 AVENUE GUSTAVE EIFFEL 33700 MERIGNAC</t>
  </si>
  <si>
    <t xml:space="preserve">annuaires seulement (dataprospects, mon-platrier, habitatpresto)</t>
  </si>
  <si>
    <t xml:space="preserve">https://annuaire-entreprises.data.gouv.fr/entreprise/842979338</t>
  </si>
  <si>
    <t xml:space="preserve">ITPECO</t>
  </si>
  <si>
    <t xml:space="preserve">901342311</t>
  </si>
  <si>
    <t xml:space="preserve">Bordeaux</t>
  </si>
  <si>
    <t xml:space="preserve">ALLEE DE CHARTRES 33000 BORDEAUX</t>
  </si>
  <si>
    <t xml:space="preserve">aucune fiche propre trouvée ; cité comme sous-traitant Orange (fibre) dans des CV</t>
  </si>
  <si>
    <t xml:space="preserve">https://annuaire-entreprises.data.gouv.fr/entreprise/901342311</t>
  </si>
  <si>
    <t xml:space="preserve">K2 PEINTURE</t>
  </si>
  <si>
    <t xml:space="preserve">789962214</t>
  </si>
  <si>
    <t xml:space="preserve">ZA ST JOSEPH RUE DE LA CROIX DE MONJOUS 33140 VILLENAVE-D'ORNON</t>
  </si>
  <si>
    <t xml:space="preserve">annuaires seulement (mappy, 118712, kompass) ; recrute (Indeed)</t>
  </si>
  <si>
    <t xml:space="preserve">https://annuaire-entreprises.data.gouv.fr/entreprise/789962214</t>
  </si>
  <si>
    <t xml:space="preserve">LAFOURCADE EQUIPEMENTS ELECTRIQUES</t>
  </si>
  <si>
    <t xml:space="preserve">390912764</t>
  </si>
  <si>
    <t xml:space="preserve">ZONE ARTISANALE LES PORTES OCEANES 21 RUE DU 503EME REGIMENT DU TRAIN 33127 MARTIGNAS-SUR-JALLE</t>
  </si>
  <si>
    <t xml:space="preserve">annuaires seulement (qualifelec, meilleur-artisan, e-pro)</t>
  </si>
  <si>
    <t xml:space="preserve">https://annuaire-entreprises.data.gouv.fr/entreprise/390912764</t>
  </si>
  <si>
    <t xml:space="preserve">MTP AQUITAINE</t>
  </si>
  <si>
    <t xml:space="preserve">808091870</t>
  </si>
  <si>
    <t xml:space="preserve">Gradignan</t>
  </si>
  <si>
    <t xml:space="preserve">RESIDENCE MOULIN CHAPELLE 4 RUE DU PROFESSEUR VILLEMIN 33170 GRADIGNAN</t>
  </si>
  <si>
    <t xml:space="preserve">annuaires seulement (doctrine, kompass, 118000, infobel)</t>
  </si>
  <si>
    <t xml:space="preserve">https://annuaire-entreprises.data.gouv.fr/entreprise/808091870</t>
  </si>
  <si>
    <t xml:space="preserve">MTT MAISON TOUT TRAVAUX</t>
  </si>
  <si>
    <t xml:space="preserve">835224296</t>
  </si>
  <si>
    <t xml:space="preserve">10 RUE EUGENE FREYSSINET 33140 VILLENAVE-D'ORNON</t>
  </si>
  <si>
    <t xml:space="preserve">annuaires seulement (annuaire-mairie, telephone.city, bottin)</t>
  </si>
  <si>
    <t xml:space="preserve">https://annuaire-entreprises.data.gouv.fr/entreprise/835224296</t>
  </si>
  <si>
    <t xml:space="preserve">MTX (MTX)</t>
  </si>
  <si>
    <t xml:space="preserve">527958995</t>
  </si>
  <si>
    <t xml:space="preserve">Pessac</t>
  </si>
  <si>
    <t xml:space="preserve">2 RUE HENRY LE CHATELIER 33600 PESSAC</t>
  </si>
  <si>
    <t xml:space="preserve">annuaires seulement ; ~30 marchés publics recensés (dossiersgagnants.fr) donc beaucoup de dossiers à gérer</t>
  </si>
  <si>
    <t xml:space="preserve">https://annuaire-entreprises.data.gouv.fr/entreprise/527958995</t>
  </si>
  <si>
    <t xml:space="preserve">OK PEINTURE</t>
  </si>
  <si>
    <t xml:space="preserve">429936032</t>
  </si>
  <si>
    <t xml:space="preserve">RES CHATEAU DU VALLON 75 AVENUE LEON BLUM 33600 PESSAC</t>
  </si>
  <si>
    <t xml:space="preserve">annuaires seulement (118000, mon-peintre, e-pro)</t>
  </si>
  <si>
    <t xml:space="preserve">https://annuaire-entreprises.data.gouv.fr/entreprise/429936032</t>
  </si>
  <si>
    <t xml:space="preserve">OPTICAL FIBRE</t>
  </si>
  <si>
    <t xml:space="preserve">839192572</t>
  </si>
  <si>
    <t xml:space="preserve">135 AVENUE DES MARRONNIERS 33700 MERIGNAC</t>
  </si>
  <si>
    <t xml:space="preserve">annuaire mon-electricien.org seulement</t>
  </si>
  <si>
    <t xml:space="preserve">https://annuaire-entreprises.data.gouv.fr/entreprise/839192572</t>
  </si>
  <si>
    <t xml:space="preserve">P BEYNEL</t>
  </si>
  <si>
    <t xml:space="preserve">515040046</t>
  </si>
  <si>
    <t xml:space="preserve">12 B COLLEGE ENS TECHNIQUE 33320 EYSINES</t>
  </si>
  <si>
    <t xml:space="preserve">annuaires seulement (mappy, chauffage-et-clim, 118712, kompass)</t>
  </si>
  <si>
    <t xml:space="preserve">https://annuaire-entreprises.data.gouv.fr/entreprise/515040046</t>
  </si>
  <si>
    <t xml:space="preserve">REHABILITATION EQUIPEMENT ELECTRIQUE</t>
  </si>
  <si>
    <t xml:space="preserve">878965680</t>
  </si>
  <si>
    <t xml:space="preserve">ZI DU PHARE 32 AVENUE DE LA GRANGE NOIRE 33700 MERIGNAC</t>
  </si>
  <si>
    <t xml:space="preserve">annuaires seulement (mappy, telephone.city, annuaire Sud Ouest) ; même adresse que Guyenne Équipement Électrique</t>
  </si>
  <si>
    <t xml:space="preserve">https://annuaire-entreprises.data.gouv.fr/entreprise/878965680</t>
  </si>
  <si>
    <t xml:space="preserve">REPARIMO (REPARIMO)</t>
  </si>
  <si>
    <t xml:space="preserve">501229835</t>
  </si>
  <si>
    <t xml:space="preserve">196 RUE SAINTE-CATHERINE 33000 BORDEAUX</t>
  </si>
  <si>
    <t xml:space="preserve">annuaires seulement (118000, c-a-cenon, rdvartisans)</t>
  </si>
  <si>
    <t xml:space="preserve">https://annuaire-entreprises.data.gouv.fr/entreprise/501229835</t>
  </si>
  <si>
    <t xml:space="preserve">S ECO (S ECO)</t>
  </si>
  <si>
    <t xml:space="preserve">510963473</t>
  </si>
  <si>
    <t xml:space="preserve">Charpente (43.91A)</t>
  </si>
  <si>
    <t xml:space="preserve">33 RUE DES VIVANTS 33100 BORDEAUX</t>
  </si>
  <si>
    <t xml:space="preserve">annuaires seulement (charpente.net, couvreurbordelais, compao)</t>
  </si>
  <si>
    <t xml:space="preserve">https://annuaire-entreprises.data.gouv.fr/entreprise/510963473</t>
  </si>
  <si>
    <t xml:space="preserve">SA G. PASTORINO &amp; FILS</t>
  </si>
  <si>
    <t xml:space="preserve">326554847</t>
  </si>
  <si>
    <t xml:space="preserve">15B-17 15 PLACE SAINT MARTIAL 33300 BORDEAUX</t>
  </si>
  <si>
    <t xml:space="preserve">annuaires seulement ; email pastorino@orange.fr (fiche Qualifelec)</t>
  </si>
  <si>
    <t xml:space="preserve">https://annuaire-entreprises.data.gouv.fr/entreprise/326554847</t>
  </si>
  <si>
    <t xml:space="preserve">SARL BOYA</t>
  </si>
  <si>
    <t xml:space="preserve">447693110</t>
  </si>
  <si>
    <t xml:space="preserve">6 RUE FRANCOIS ARAGO 33700 MERIGNAC</t>
  </si>
  <si>
    <t xml:space="preserve">annuaires seulement (mappy, kompass) ; recrute des peintres</t>
  </si>
  <si>
    <t xml:space="preserve">https://annuaire-entreprises.data.gouv.fr/entreprise/447693110</t>
  </si>
  <si>
    <t xml:space="preserve">SARL DL MENUISERIE EXPANSION</t>
  </si>
  <si>
    <t xml:space="preserve">753979327</t>
  </si>
  <si>
    <t xml:space="preserve">Le Taillan-Medoc</t>
  </si>
  <si>
    <t xml:space="preserve">2 RUE DE BUSSAGUET 33320 LE TAILLAN-MEDOC</t>
  </si>
  <si>
    <t xml:space="preserve">annuaires seulement (menuisier.info, cylex, 118000)</t>
  </si>
  <si>
    <t xml:space="preserve">https://annuaire-entreprises.data.gouv.fr/entreprise/753979327</t>
  </si>
  <si>
    <t xml:space="preserve">SARL SERSET (SERSET)</t>
  </si>
  <si>
    <t xml:space="preserve">316881226</t>
  </si>
  <si>
    <t xml:space="preserve">139 AVENUE DU MARECHAL LECLERC 33130 BEGLES</t>
  </si>
  <si>
    <t xml:space="preserve">annuaires seulement (mappy, 118712, ou-plombier, kompass) ; entreprise depuis 1979</t>
  </si>
  <si>
    <t xml:space="preserve">https://annuaire-entreprises.data.gouv.fr/entreprise/316881226</t>
  </si>
  <si>
    <t xml:space="preserve">SARL TEBAG</t>
  </si>
  <si>
    <t xml:space="preserve">353778020</t>
  </si>
  <si>
    <t xml:space="preserve">Étanchéité (43.99A)</t>
  </si>
  <si>
    <t xml:space="preserve">5 ALLEE DU HAUT LEVEQUE 33600 PESSAC</t>
  </si>
  <si>
    <t xml:space="preserve">annuaires seulement (ville-data, cylex) ; travaille avec des syndics (Instagram d'un partenaire)</t>
  </si>
  <si>
    <t xml:space="preserve">https://annuaire-entreprises.data.gouv.fr/entreprise/353778020</t>
  </si>
  <si>
    <t xml:space="preserve">SBA CONSTRUCTIONS</t>
  </si>
  <si>
    <t xml:space="preserve">437488182</t>
  </si>
  <si>
    <t xml:space="preserve">BOITE N0  7 8 RUE PIERRE-GEORGES LATECOERE 33700 MERIGNAC</t>
  </si>
  <si>
    <t xml:space="preserve">annuaires seulement (mappy, lagazettefrance, eldo, 118712)</t>
  </si>
  <si>
    <t xml:space="preserve">https://annuaire-entreprises.data.gouv.fr/entreprise/437488182</t>
  </si>
  <si>
    <t xml:space="preserve">SFAR</t>
  </si>
  <si>
    <t xml:space="preserve">789781978</t>
  </si>
  <si>
    <t xml:space="preserve">22 RUE JEAN-BAPTISTE PERRIN 33320 EYSINES</t>
  </si>
  <si>
    <t xml:space="preserve">annuaires seulement (mappy, kompass, pagespro, 118712)</t>
  </si>
  <si>
    <t xml:space="preserve">https://annuaire-entreprises.data.gouv.fr/entreprise/789781978</t>
  </si>
  <si>
    <t xml:space="preserve">SOC DES ETS JACQUES BAREYRE</t>
  </si>
  <si>
    <t xml:space="preserve">305708612</t>
  </si>
  <si>
    <t xml:space="preserve">Installation d'eau et de gaz (plomberie) (43.22A)</t>
  </si>
  <si>
    <t xml:space="preserve">230 AVENUE PASTEUR 33600 PESSAC</t>
  </si>
  <si>
    <t xml:space="preserve">annuaires seulement (gowork, omizi, hoodspot) ; titulaire de marchés publics (TED)</t>
  </si>
  <si>
    <t xml:space="preserve">https://annuaire-entreprises.data.gouv.fr/entreprise/305708612</t>
  </si>
  <si>
    <t xml:space="preserve">SOFER (SOFER)</t>
  </si>
  <si>
    <t xml:space="preserve">351808845</t>
  </si>
  <si>
    <t xml:space="preserve">116 RUE DE LA CROIX DE MONJOUS 33170 GRADIGNAN</t>
  </si>
  <si>
    <t xml:space="preserve">annuaires seulement (creditsafe, meilleurs-menuisiers, rdvartisans)</t>
  </si>
  <si>
    <t xml:space="preserve">https://annuaire-entreprises.data.gouv.fr/entreprise/351808845</t>
  </si>
  <si>
    <t xml:space="preserve">VALODEM</t>
  </si>
  <si>
    <t xml:space="preserve">824224893</t>
  </si>
  <si>
    <t xml:space="preserve">Travaux de démolition (43.11Z)</t>
  </si>
  <si>
    <t xml:space="preserve">6 AVENUE MAURICE LEVY 33700 MERIGNAC</t>
  </si>
  <si>
    <t xml:space="preserve">annuaires seulement (mappy, kompass) ; chantiers de démolition publics (Sud Ouest)</t>
  </si>
  <si>
    <t xml:space="preserve">https://annuaire-entreprises.data.gouv.fr/entreprise/824224893</t>
  </si>
  <si>
    <t xml:space="preserve">ANALYSE REVISION GESTION EXPERTISE COMPTABLE AUDIT AQUITAINE (A.R.G.E.C.A. AQUITAI)</t>
  </si>
  <si>
    <t xml:space="preserve">500391214</t>
  </si>
  <si>
    <t xml:space="preserve">Activités comptables (69.20Z)</t>
  </si>
  <si>
    <t xml:space="preserve">1 AVENUE MEILLEUR OUVRIER DE FRANCE 33700 MERIGNAC</t>
  </si>
  <si>
    <t xml:space="preserve">annuaires seulement (Ordre, starofservice, pagespro)</t>
  </si>
  <si>
    <t xml:space="preserve">https://annuaire-entreprises.data.gouv.fr/entreprise/500391214</t>
  </si>
  <si>
    <t xml:space="preserve">CABINET JULIEN SICRE</t>
  </si>
  <si>
    <t xml:space="preserve">790281059</t>
  </si>
  <si>
    <t xml:space="preserve">42 RUE SAINT JOSEPH 33000 BORDEAUX</t>
  </si>
  <si>
    <t xml:space="preserve">annuaires de l'Ordre seulement ; 2 bureaux (Bordeaux + Arvert 17)</t>
  </si>
  <si>
    <t xml:space="preserve">https://annuaire-entreprises.data.gouv.fr/entreprise/790281059</t>
  </si>
  <si>
    <t xml:space="preserve">MAISON ZLATA</t>
  </si>
  <si>
    <t xml:space="preserve">854070752</t>
  </si>
  <si>
    <t xml:space="preserve">Construction de maisons individuelles (41.20A)</t>
  </si>
  <si>
    <t xml:space="preserve">26 T RUE DILLY PROLONGEE 33130 BEGLES</t>
  </si>
  <si>
    <t xml:space="preserve">annuaires seulement (constructeur.pro, dnb)</t>
  </si>
  <si>
    <t xml:space="preserve">https://annuaire-entreprises.data.gouv.fr/entreprise/854070752</t>
  </si>
  <si>
    <t xml:space="preserve">CBRA</t>
  </si>
  <si>
    <t xml:space="preserve">531277101</t>
  </si>
  <si>
    <t xml:space="preserve">4 RUE HAROUN TAZIEFF 33150 CENON</t>
  </si>
  <si>
    <t xml:space="preserve">Incertain</t>
  </si>
  <si>
    <t xml:space="preserve">pas de site trouvé (annuaires + Instagram) mais email contact.travaux@cbra.fr : un domaine existe, à vérifier</t>
  </si>
  <si>
    <t xml:space="preserve">https://annuaire-entreprises.data.gouv.fr/entreprise/531277101</t>
  </si>
  <si>
    <t xml:space="preserve">CHAUD CLIMATISATION SERVICES (CCS)</t>
  </si>
  <si>
    <t xml:space="preserve">752303537</t>
  </si>
  <si>
    <t xml:space="preserve">141 AVENUE DU MARECHAL LECLERC 33130 BEGLES</t>
  </si>
  <si>
    <t xml:space="preserve">pas de site trouvé mais email secretariat@ccs-entreprise.fr : un domaine existe, à vérifier</t>
  </si>
  <si>
    <t xml:space="preserve">https://annuaire-entreprises.data.gouv.fr/entreprise/752303537</t>
  </si>
  <si>
    <t xml:space="preserve">ENELEC (ENELEC)</t>
  </si>
  <si>
    <t xml:space="preserve">819838830</t>
  </si>
  <si>
    <t xml:space="preserve">8 RUE PAUL EMILE APPELL 33600 PESSAC</t>
  </si>
  <si>
    <t xml:space="preserve">pas de site trouvé mais email secretariat@enelec-entreprise.fr : un domaine existe, à vérifier ; même schéma d'adresse que CCS (xxx-entreprise.fr)</t>
  </si>
  <si>
    <t xml:space="preserve">https://annuaire-entreprises.data.gouv.fr/entreprise/819838830</t>
  </si>
  <si>
    <t xml:space="preserve">CABINET CEF</t>
  </si>
  <si>
    <t xml:space="preserve">414973073</t>
  </si>
  <si>
    <t xml:space="preserve">9 IMPASSE JULES HETZEL 33700 MERIGNAC</t>
  </si>
  <si>
    <t xml:space="preserve">aucun résultat ; SIREN proche du Cabinet E. Queraux (même groupe probable)</t>
  </si>
  <si>
    <t xml:space="preserve">https://annuaire-entreprises.data.gouv.fr/entreprise/414973073</t>
  </si>
  <si>
    <t xml:space="preserve">Site trouvé</t>
  </si>
  <si>
    <t xml:space="preserve">Remarque</t>
  </si>
  <si>
    <t xml:space="preserve">Domaine</t>
  </si>
  <si>
    <t xml:space="preserve">Messagerie</t>
  </si>
  <si>
    <t xml:space="preserve">Profil</t>
  </si>
  <si>
    <t xml:space="preserve">2C EXPERTISES (2E)</t>
  </si>
  <si>
    <t xml:space="preserve">753701002</t>
  </si>
  <si>
    <t xml:space="preserve">http://2cexpertises.com/</t>
  </si>
  <si>
    <t xml:space="preserve">2cexpertises.com</t>
  </si>
  <si>
    <t xml:space="preserve">Non vérifié</t>
  </si>
  <si>
    <t xml:space="preserve">ACER</t>
  </si>
  <si>
    <t xml:space="preserve">432530830</t>
  </si>
  <si>
    <t xml:space="preserve">https://www.acer-creation.fr/</t>
  </si>
  <si>
    <t xml:space="preserve">site « La société Acer » salles de bain Bordeaux (correspondance probable)</t>
  </si>
  <si>
    <t xml:space="preserve">acer-creation.fr</t>
  </si>
  <si>
    <t xml:space="preserve">AFB 33 (AFB 33)</t>
  </si>
  <si>
    <t xml:space="preserve">828960096</t>
  </si>
  <si>
    <t xml:space="preserve">https://www.afb33-peinture.fr/</t>
  </si>
  <si>
    <t xml:space="preserve">afb33-peinture.fr</t>
  </si>
  <si>
    <t xml:space="preserve">AIR EAU ENERGIE GIRONDE (AEE33 AIR EAU ENERGIE GIRONDE) (AEE33)</t>
  </si>
  <si>
    <t xml:space="preserve">509461612</t>
  </si>
  <si>
    <t xml:space="preserve">http://www.climatisation-chauffage-33.com/</t>
  </si>
  <si>
    <t xml:space="preserve">site cité dans une fiche annuaire (non ouvert)</t>
  </si>
  <si>
    <t xml:space="preserve">climatisation-chauffage-33.com</t>
  </si>
  <si>
    <t xml:space="preserve">AMENAGEMENT SENIORS HABITAT - ASH</t>
  </si>
  <si>
    <t xml:space="preserve">815179692</t>
  </si>
  <si>
    <t xml:space="preserve">https://www.asheurope.com/</t>
  </si>
  <si>
    <t xml:space="preserve">asheurope.com</t>
  </si>
  <si>
    <t xml:space="preserve">AQUITAINE ASCENSEURS</t>
  </si>
  <si>
    <t xml:space="preserve">534766837</t>
  </si>
  <si>
    <t xml:space="preserve">https://www.aquitaine-asc.fr/</t>
  </si>
  <si>
    <t xml:space="preserve">aquitaine-asc.fr</t>
  </si>
  <si>
    <t xml:space="preserve">ARCHENERGIE</t>
  </si>
  <si>
    <t xml:space="preserve">537649154</t>
  </si>
  <si>
    <t xml:space="preserve">https://archenergie.fr/</t>
  </si>
  <si>
    <t xml:space="preserve">archenergie.fr</t>
  </si>
  <si>
    <t xml:space="preserve">ARTHEA</t>
  </si>
  <si>
    <t xml:space="preserve">919648485</t>
  </si>
  <si>
    <t xml:space="preserve">https://arthea-sas.fr/</t>
  </si>
  <si>
    <t xml:space="preserve">arthea-sas.fr</t>
  </si>
  <si>
    <t xml:space="preserve">ATELIER AND CO</t>
  </si>
  <si>
    <t xml:space="preserve">803342948</t>
  </si>
  <si>
    <t xml:space="preserve">https://www.jsd-groupe.com/atelier-co/</t>
  </si>
  <si>
    <t xml:space="preserve">groupe JSD</t>
  </si>
  <si>
    <t xml:space="preserve">jsd-groupe.com</t>
  </si>
  <si>
    <t xml:space="preserve">ATLAS DEMOLITION 33</t>
  </si>
  <si>
    <t xml:space="preserve">513502906</t>
  </si>
  <si>
    <t xml:space="preserve">Bouliac</t>
  </si>
  <si>
    <t xml:space="preserve">https://www.atlasdemolition.fr/</t>
  </si>
  <si>
    <t xml:space="preserve">atlasdemolition.fr</t>
  </si>
  <si>
    <t xml:space="preserve">B 2 C (B 2 C)</t>
  </si>
  <si>
    <t xml:space="preserve">417580768</t>
  </si>
  <si>
    <t xml:space="preserve">https://sasb2c.com/</t>
  </si>
  <si>
    <t xml:space="preserve">sasb2c.com</t>
  </si>
  <si>
    <t xml:space="preserve">B'MIX</t>
  </si>
  <si>
    <t xml:space="preserve">482078052</t>
  </si>
  <si>
    <t xml:space="preserve">https://www.bmix.fr/</t>
  </si>
  <si>
    <t xml:space="preserve">bmix.fr</t>
  </si>
  <si>
    <t xml:space="preserve">BAT S.M. SARL</t>
  </si>
  <si>
    <t xml:space="preserve">388077349</t>
  </si>
  <si>
    <t xml:space="preserve">https://www.bat-sm.com/</t>
  </si>
  <si>
    <t xml:space="preserve">groupe Demonchy</t>
  </si>
  <si>
    <t xml:space="preserve">bat-sm.com</t>
  </si>
  <si>
    <t xml:space="preserve">BOIS CONCEPT M (B.C.M.)</t>
  </si>
  <si>
    <t xml:space="preserve">800699175</t>
  </si>
  <si>
    <t xml:space="preserve">https://bois-concept-m.fr/</t>
  </si>
  <si>
    <t xml:space="preserve">bois-concept-m.fr</t>
  </si>
  <si>
    <t xml:space="preserve">BOMAS CONSTRUCTION</t>
  </si>
  <si>
    <t xml:space="preserve">444051668</t>
  </si>
  <si>
    <t xml:space="preserve">Ambares-Et-Lagrave</t>
  </si>
  <si>
    <t xml:space="preserve">http://www.bomas-construction.com/</t>
  </si>
  <si>
    <t xml:space="preserve">bomas-construction.com</t>
  </si>
  <si>
    <t xml:space="preserve">BONNET ETANCHEITE</t>
  </si>
  <si>
    <t xml:space="preserve">521423517</t>
  </si>
  <si>
    <t xml:space="preserve">https://www.bonnet-etancheite.com/</t>
  </si>
  <si>
    <t xml:space="preserve">bonnet-etancheite.com</t>
  </si>
  <si>
    <t xml:space="preserve">BORDEAUX FERMETURES</t>
  </si>
  <si>
    <t xml:space="preserve">442566709</t>
  </si>
  <si>
    <t xml:space="preserve">https://www.bordeaux-fermeture.fr/</t>
  </si>
  <si>
    <t xml:space="preserve">bordeaux-fermeture.fr</t>
  </si>
  <si>
    <t xml:space="preserve">CABINET COMBY</t>
  </si>
  <si>
    <t xml:space="preserve">511830812</t>
  </si>
  <si>
    <t xml:space="preserve">https://www.comby.fr/</t>
  </si>
  <si>
    <t xml:space="preserve">comby.fr</t>
  </si>
  <si>
    <t xml:space="preserve">CABINET JG BEZ SA</t>
  </si>
  <si>
    <t xml:space="preserve">301277257</t>
  </si>
  <si>
    <t xml:space="preserve">https://expertys-metropole.com/</t>
  </si>
  <si>
    <t xml:space="preserve">site du groupe Expertys</t>
  </si>
  <si>
    <t xml:space="preserve">expertys-metropole.com</t>
  </si>
  <si>
    <t xml:space="preserve">CABINET STEPHANE MANDIN SARL</t>
  </si>
  <si>
    <t xml:space="preserve">444723563</t>
  </si>
  <si>
    <t xml:space="preserve">https://www.cabinet-mandin.fr/</t>
  </si>
  <si>
    <t xml:space="preserve">cabinet-mandin.fr</t>
  </si>
  <si>
    <t xml:space="preserve">CONSTRUCTIONS JOSES (CONSTRUCTIONS JOSES)</t>
  </si>
  <si>
    <t xml:space="preserve">794148080</t>
  </si>
  <si>
    <t xml:space="preserve">http://construcoesjoses.com/</t>
  </si>
  <si>
    <t xml:space="preserve">site du groupe (agence Mérignac)</t>
  </si>
  <si>
    <t xml:space="preserve">construcoesjoses.com</t>
  </si>
  <si>
    <t xml:space="preserve">CULTURE COMPTABLE</t>
  </si>
  <si>
    <t xml:space="preserve">822343018</t>
  </si>
  <si>
    <t xml:space="preserve">https://www.culturecomptable.com/</t>
  </si>
  <si>
    <t xml:space="preserve">culturecomptable.com</t>
  </si>
  <si>
    <t xml:space="preserve">ED ENERGY</t>
  </si>
  <si>
    <t xml:space="preserve">810246470</t>
  </si>
  <si>
    <t xml:space="preserve">https://ed-energy.fr/</t>
  </si>
  <si>
    <t xml:space="preserve">ed-energy.fr</t>
  </si>
  <si>
    <t xml:space="preserve">ELECTROGAZ</t>
  </si>
  <si>
    <t xml:space="preserve">515137404</t>
  </si>
  <si>
    <t xml:space="preserve">https://electro-gaz.fr/</t>
  </si>
  <si>
    <t xml:space="preserve">electro-gaz.fr</t>
  </si>
  <si>
    <t xml:space="preserve">ENTREPRISE BAROUMES</t>
  </si>
  <si>
    <t xml:space="preserve">439701525</t>
  </si>
  <si>
    <t xml:space="preserve">https://baroumes.fr/</t>
  </si>
  <si>
    <t xml:space="preserve">baroumes.fr</t>
  </si>
  <si>
    <t xml:space="preserve">ETABLISSEMENTS DUPHIL ET CIE</t>
  </si>
  <si>
    <t xml:space="preserve">467200549</t>
  </si>
  <si>
    <t xml:space="preserve">Agencement de lieux de vente (43.32C)</t>
  </si>
  <si>
    <t xml:space="preserve">https://www.lesateliersduphil.net/</t>
  </si>
  <si>
    <t xml:space="preserve">lesateliersduphil.net</t>
  </si>
  <si>
    <t xml:space="preserve">ETABLISSEMENTS MICHEL ALLYRE</t>
  </si>
  <si>
    <t xml:space="preserve">344916812</t>
  </si>
  <si>
    <t xml:space="preserve">https://allyre.com/</t>
  </si>
  <si>
    <t xml:space="preserve">allyre.com</t>
  </si>
  <si>
    <t xml:space="preserve">EURL ESPACES COULEURS</t>
  </si>
  <si>
    <t xml:space="preserve">421798042</t>
  </si>
  <si>
    <t xml:space="preserve">https://www.espaces-couleurs.fr/</t>
  </si>
  <si>
    <t xml:space="preserve">espaces-couleurs.fr</t>
  </si>
  <si>
    <t xml:space="preserve">EVEAA</t>
  </si>
  <si>
    <t xml:space="preserve">888202017</t>
  </si>
  <si>
    <t xml:space="preserve">https://www.cimea.fr/eveaa/</t>
  </si>
  <si>
    <t xml:space="preserve">page sur le site du groupe CIMEA</t>
  </si>
  <si>
    <t xml:space="preserve">cimea.fr</t>
  </si>
  <si>
    <t xml:space="preserve">FRADIN</t>
  </si>
  <si>
    <t xml:space="preserve">351793161</t>
  </si>
  <si>
    <t xml:space="preserve">Promotion immobilière de logements (41.10A)</t>
  </si>
  <si>
    <t xml:space="preserve">Lormont</t>
  </si>
  <si>
    <t xml:space="preserve">https://www.fradin-promotion.fr/</t>
  </si>
  <si>
    <t xml:space="preserve">site du groupe Fradin</t>
  </si>
  <si>
    <t xml:space="preserve">fradin-promotion.fr</t>
  </si>
  <si>
    <t xml:space="preserve">GARANCE COUVERTURE</t>
  </si>
  <si>
    <t xml:space="preserve">811826304</t>
  </si>
  <si>
    <t xml:space="preserve">Le Bouscat</t>
  </si>
  <si>
    <t xml:space="preserve">https://www.garance-couverture.fr/</t>
  </si>
  <si>
    <t xml:space="preserve">garance-couverture.fr</t>
  </si>
  <si>
    <t xml:space="preserve">GERFA SUD OUEST</t>
  </si>
  <si>
    <t xml:space="preserve">490248879</t>
  </si>
  <si>
    <t xml:space="preserve">https://www.gerfa.fr/</t>
  </si>
  <si>
    <t xml:space="preserve">site du groupe GERFA</t>
  </si>
  <si>
    <t xml:space="preserve">gerfa.fr</t>
  </si>
  <si>
    <t xml:space="preserve">GROUPE DONITIAN</t>
  </si>
  <si>
    <t xml:space="preserve">379679152</t>
  </si>
  <si>
    <t xml:space="preserve">Location de matériel de construction avec opérateur (43.99E)</t>
  </si>
  <si>
    <t xml:space="preserve">—</t>
  </si>
  <si>
    <t xml:space="preserve">ÉCARTÉE : fiche dans la dataroom d'une étude de mandataire judiciaire (etude-mequinion.eu) : entreprise probablement en procédure, à écarter</t>
  </si>
  <si>
    <t xml:space="preserve">Pas de domaine</t>
  </si>
  <si>
    <t xml:space="preserve">HARRIBEY CONSTRUCTIONS</t>
  </si>
  <si>
    <t xml:space="preserve">413657164</t>
  </si>
  <si>
    <t xml:space="preserve">Construction d'autres bâtiments (41.20B)</t>
  </si>
  <si>
    <t xml:space="preserve">https://harribeyconstructions.fr/</t>
  </si>
  <si>
    <t xml:space="preserve">harribeyconstructions.fr</t>
  </si>
  <si>
    <t xml:space="preserve">HDMS</t>
  </si>
  <si>
    <t xml:space="preserve">830017521</t>
  </si>
  <si>
    <t xml:space="preserve">https://hdms33.fr/</t>
  </si>
  <si>
    <t xml:space="preserve">hdms33.fr</t>
  </si>
  <si>
    <t xml:space="preserve">ILEX AQUITAINE</t>
  </si>
  <si>
    <t xml:space="preserve">810026302</t>
  </si>
  <si>
    <t xml:space="preserve">https://ilexascenseurs.com/agences/ilex-aquitaine/</t>
  </si>
  <si>
    <t xml:space="preserve">agence du réseau ILEX</t>
  </si>
  <si>
    <t xml:space="preserve">ilexascenseurs.com</t>
  </si>
  <si>
    <t xml:space="preserve">INGENIERIE CONCEPT - AMENAGEMENTS INTERIEURS (IC-AI)</t>
  </si>
  <si>
    <t xml:space="preserve">534246038</t>
  </si>
  <si>
    <t xml:space="preserve">https://www.groupedemonchy.fr/</t>
  </si>
  <si>
    <t xml:space="preserve">filiale du groupe Demonchy (cité sur le site du groupe)</t>
  </si>
  <si>
    <t xml:space="preserve">groupedemonchy.fr</t>
  </si>
  <si>
    <t xml:space="preserve">JSD ENTREPRISE</t>
  </si>
  <si>
    <t xml:space="preserve">410195853</t>
  </si>
  <si>
    <t xml:space="preserve">https://www.jsd-groupe.com/jsd-entreprise/</t>
  </si>
  <si>
    <t xml:space="preserve">JULIEN LAVOINE</t>
  </si>
  <si>
    <t xml:space="preserve">753553114</t>
  </si>
  <si>
    <t xml:space="preserve">https://julienlavoinecharpentiers.com/</t>
  </si>
  <si>
    <t xml:space="preserve">julienlavoinecharpentiers.com</t>
  </si>
  <si>
    <t xml:space="preserve">K- PAX</t>
  </si>
  <si>
    <t xml:space="preserve">828252429</t>
  </si>
  <si>
    <t xml:space="preserve">Ambes</t>
  </si>
  <si>
    <t xml:space="preserve">https://k-pax.fr/</t>
  </si>
  <si>
    <t xml:space="preserve">site présent mais adresse de contact en gmail</t>
  </si>
  <si>
    <t xml:space="preserve">k-pax.fr</t>
  </si>
  <si>
    <t xml:space="preserve">K2 ENERGIES HABITAT</t>
  </si>
  <si>
    <t xml:space="preserve">899594667</t>
  </si>
  <si>
    <t xml:space="preserve">https://www.k2energies.com/</t>
  </si>
  <si>
    <t xml:space="preserve">groupe K2 Énergies</t>
  </si>
  <si>
    <t xml:space="preserve">k2energies.com</t>
  </si>
  <si>
    <t xml:space="preserve">KALITEC GENIE CLIMATIQUE BORDEAUX</t>
  </si>
  <si>
    <t xml:space="preserve">892838699</t>
  </si>
  <si>
    <t xml:space="preserve">https://kalitec.fr/</t>
  </si>
  <si>
    <t xml:space="preserve">site du groupe Kalitec (Toulouse) ; filiale de Bordeaux</t>
  </si>
  <si>
    <t xml:space="preserve">kalitec.fr</t>
  </si>
  <si>
    <t xml:space="preserve">KC CARRELAGE</t>
  </si>
  <si>
    <t xml:space="preserve">911503456</t>
  </si>
  <si>
    <t xml:space="preserve">ÉCARTÉE : en liquidation judiciaire (doctrine.fr) : à écarter</t>
  </si>
  <si>
    <t xml:space="preserve">L ATELIER D AGENCEMENT</t>
  </si>
  <si>
    <t xml:space="preserve">316881317</t>
  </si>
  <si>
    <t xml:space="preserve">ÉCARTÉE : pas de site propre trouvé mais propriétaire du réseau DECOSTORY (Instagram) : présence web probable, peu prioritaire</t>
  </si>
  <si>
    <t xml:space="preserve">LE GUA BATI</t>
  </si>
  <si>
    <t xml:space="preserve">483807178</t>
  </si>
  <si>
    <t xml:space="preserve">Autres travaux spécialisés de construction (43.99D)</t>
  </si>
  <si>
    <t xml:space="preserve">https://www.legua-bati.fr/</t>
  </si>
  <si>
    <t xml:space="preserve">legua-bati.fr</t>
  </si>
  <si>
    <t xml:space="preserve">LE JEUNE ENTREPRISE</t>
  </si>
  <si>
    <t xml:space="preserve">344109707</t>
  </si>
  <si>
    <t xml:space="preserve">https://www.lejeuneentreprise.fr/</t>
  </si>
  <si>
    <t xml:space="preserve">lejeuneentreprise.fr</t>
  </si>
  <si>
    <t xml:space="preserve">MARTIN ET MONTEILS</t>
  </si>
  <si>
    <t xml:space="preserve">465201614</t>
  </si>
  <si>
    <t xml:space="preserve">https://www.martin-monteils.fr/</t>
  </si>
  <si>
    <t xml:space="preserve">martin-monteils.fr</t>
  </si>
  <si>
    <t xml:space="preserve">MARTIN MENUISERIES (MARTIN MENUISERIES)</t>
  </si>
  <si>
    <t xml:space="preserve">888345188</t>
  </si>
  <si>
    <t xml:space="preserve">https://www.martinmenuiseries.net/</t>
  </si>
  <si>
    <t xml:space="preserve">martinmenuiseries.net</t>
  </si>
  <si>
    <t xml:space="preserve">MCE PERCHALEC</t>
  </si>
  <si>
    <t xml:space="preserve">410895080</t>
  </si>
  <si>
    <t xml:space="preserve">Blanquefort</t>
  </si>
  <si>
    <t xml:space="preserve">https://www.mceperchalec.com/</t>
  </si>
  <si>
    <t xml:space="preserve">mceperchalec.com</t>
  </si>
  <si>
    <t xml:space="preserve">MONDIAL MENUISERIES (MONDIAL MENUISERIES)</t>
  </si>
  <si>
    <t xml:space="preserve">483314563</t>
  </si>
  <si>
    <t xml:space="preserve">https://www.mondialmenuiseries.fr/</t>
  </si>
  <si>
    <t xml:space="preserve">mondialmenuiseries.fr</t>
  </si>
  <si>
    <t xml:space="preserve">OPNA BORDEAUX</t>
  </si>
  <si>
    <t xml:space="preserve">830008306</t>
  </si>
  <si>
    <t xml:space="preserve">https://opna.fr/</t>
  </si>
  <si>
    <t xml:space="preserve">site du réseau OPNA (agence Bordeaux)</t>
  </si>
  <si>
    <t xml:space="preserve">opna.fr</t>
  </si>
  <si>
    <t xml:space="preserve">QUANTHIC OCEAN</t>
  </si>
  <si>
    <t xml:space="preserve">909434334</t>
  </si>
  <si>
    <t xml:space="preserve">https://www.quanthic-ocean.com/</t>
  </si>
  <si>
    <t xml:space="preserve">quanthic-ocean.com</t>
  </si>
  <si>
    <t xml:space="preserve">R D M B CONSTRUCTION SARL</t>
  </si>
  <si>
    <t xml:space="preserve">440344562</t>
  </si>
  <si>
    <t xml:space="preserve">https://www.rdmb-construction.fr/</t>
  </si>
  <si>
    <t xml:space="preserve">site existant mais mentions légales encore au stade de modèle (consignes non remplies) : piste pour une refonte</t>
  </si>
  <si>
    <t xml:space="preserve">rdmb-construction.fr</t>
  </si>
  <si>
    <t xml:space="preserve">RENOSYSTEMES</t>
  </si>
  <si>
    <t xml:space="preserve">511165375</t>
  </si>
  <si>
    <t xml:space="preserve">https://renosystemes.com/</t>
  </si>
  <si>
    <t xml:space="preserve">renosystemes.com</t>
  </si>
  <si>
    <t xml:space="preserve">RESEAUX PROTECTION INCENDIE</t>
  </si>
  <si>
    <t xml:space="preserve">438597304</t>
  </si>
  <si>
    <t xml:space="preserve">https://www.rpi33.fr/</t>
  </si>
  <si>
    <t xml:space="preserve">rpi33.fr</t>
  </si>
  <si>
    <t xml:space="preserve">REVETEMENTS ET TECHNIQUES DU SUD OUEST (RTSO)</t>
  </si>
  <si>
    <t xml:space="preserve">329652044</t>
  </si>
  <si>
    <t xml:space="preserve">https://www.rtso.fr/</t>
  </si>
  <si>
    <t xml:space="preserve">rtso.fr</t>
  </si>
  <si>
    <t xml:space="preserve">SAP</t>
  </si>
  <si>
    <t xml:space="preserve">794653113</t>
  </si>
  <si>
    <t xml:space="preserve">https://www.sappeinture.fr/</t>
  </si>
  <si>
    <t xml:space="preserve">sappeinture.fr</t>
  </si>
  <si>
    <t xml:space="preserve">SARL FOERSTNER FRERES</t>
  </si>
  <si>
    <t xml:space="preserve">418502118</t>
  </si>
  <si>
    <t xml:space="preserve">https://www.foerstnerfreres.com/</t>
  </si>
  <si>
    <t xml:space="preserve">foerstnerfreres.com</t>
  </si>
  <si>
    <t xml:space="preserve">SAS METALLERIE MEDINA ET FILS</t>
  </si>
  <si>
    <t xml:space="preserve">321537482</t>
  </si>
  <si>
    <t xml:space="preserve">https://www.constructions-metalliques-bordeaux.com</t>
  </si>
  <si>
    <t xml:space="preserve">constructions-metalliques-bordeaux.com</t>
  </si>
  <si>
    <t xml:space="preserve">SCOP CLAVERIE</t>
  </si>
  <si>
    <t xml:space="preserve">539220335</t>
  </si>
  <si>
    <t xml:space="preserve">https://www.ccclaverie.com/</t>
  </si>
  <si>
    <t xml:space="preserve">ccclaverie.com</t>
  </si>
  <si>
    <t xml:space="preserve">SEFCO ENTREPRISES</t>
  </si>
  <si>
    <t xml:space="preserve">499868933</t>
  </si>
  <si>
    <t xml:space="preserve">https://sefcoentreprises.wixsite.com/sefcoentreprises</t>
  </si>
  <si>
    <t xml:space="preserve">site Wix gratuit ; siège au 12 rue Galilée Pessac comme le groupe CIMEA</t>
  </si>
  <si>
    <t xml:space="preserve">sefcoentreprises.wixsite.com</t>
  </si>
  <si>
    <t xml:space="preserve">SERVISUN</t>
  </si>
  <si>
    <t xml:space="preserve">311110191</t>
  </si>
  <si>
    <t xml:space="preserve">https://www.servisun-bordeaux.com/</t>
  </si>
  <si>
    <t xml:space="preserve">servisun-bordeaux.com</t>
  </si>
  <si>
    <t xml:space="preserve">SIGNALAX</t>
  </si>
  <si>
    <t xml:space="preserve">348664418</t>
  </si>
  <si>
    <t xml:space="preserve">Construction de routes et autoroutes (42.11Z)</t>
  </si>
  <si>
    <t xml:space="preserve">https://www.signalax-marquage-signalisation.fr/</t>
  </si>
  <si>
    <t xml:space="preserve">signalax-marquage-signalisation.fr</t>
  </si>
  <si>
    <t xml:space="preserve">SODITEL (SODITEL)</t>
  </si>
  <si>
    <t xml:space="preserve">314685181</t>
  </si>
  <si>
    <t xml:space="preserve">https://www.soditel.fr/</t>
  </si>
  <si>
    <t xml:space="preserve">soditel.fr</t>
  </si>
  <si>
    <t xml:space="preserve">SOPEGO</t>
  </si>
  <si>
    <t xml:space="preserve">392072138</t>
  </si>
  <si>
    <t xml:space="preserve">http://www.sopego.com/</t>
  </si>
  <si>
    <t xml:space="preserve">sopego.com</t>
  </si>
  <si>
    <t xml:space="preserve">SORREBA TECHNOLOGIE</t>
  </si>
  <si>
    <t xml:space="preserve">331912550</t>
  </si>
  <si>
    <t xml:space="preserve">https://www.sorreba-technologie.fr/</t>
  </si>
  <si>
    <t xml:space="preserve">sorreba-technologie.fr</t>
  </si>
  <si>
    <t xml:space="preserve">SUD OUEST PAVAGE (SUD OUEST PAVAGE) (SOP)</t>
  </si>
  <si>
    <t xml:space="preserve">497556126</t>
  </si>
  <si>
    <t xml:space="preserve">https://sudouestpavage.fr/</t>
  </si>
  <si>
    <t xml:space="preserve">sudouestpavage.fr</t>
  </si>
  <si>
    <t xml:space="preserve">SUN GREEN ENERGIES</t>
  </si>
  <si>
    <t xml:space="preserve">488296195</t>
  </si>
  <si>
    <t xml:space="preserve">https://www.sungreen.fr/</t>
  </si>
  <si>
    <t xml:space="preserve">sungreen.fr</t>
  </si>
  <si>
    <t xml:space="preserve">TECHSUN</t>
  </si>
  <si>
    <t xml:space="preserve">881546048</t>
  </si>
  <si>
    <t xml:space="preserve">Activités des sièges sociaux (70.10Z)</t>
  </si>
  <si>
    <t xml:space="preserve">https://techsun-wscompany.fr/</t>
  </si>
  <si>
    <t xml:space="preserve">techsun-wscompany.fr</t>
  </si>
  <si>
    <t xml:space="preserve">TONEL</t>
  </si>
  <si>
    <t xml:space="preserve">429050990</t>
  </si>
  <si>
    <t xml:space="preserve">https://www.jsd-groupe.com/tonel/</t>
  </si>
  <si>
    <t xml:space="preserve">TRAVAUX AQUITAINS</t>
  </si>
  <si>
    <t xml:space="preserve">314571852</t>
  </si>
  <si>
    <t xml:space="preserve">https://www.travauxaquitains.com/</t>
  </si>
  <si>
    <t xml:space="preserve">travauxaquitains.com</t>
  </si>
  <si>
    <t xml:space="preserve">UNION FRIGORIFIQUE D'AQUITAINE (UFA)</t>
  </si>
  <si>
    <t xml:space="preserve">318379179</t>
  </si>
  <si>
    <t xml:space="preserve">https://www.ufa-genieclimatique.com/</t>
  </si>
  <si>
    <t xml:space="preserve">ufa-genieclimatique.com</t>
  </si>
  <si>
    <t xml:space="preserve">VINTAGE CONSTRUCTION</t>
  </si>
  <si>
    <t xml:space="preserve">535145163</t>
  </si>
  <si>
    <t xml:space="preserve">https://www.vintageconstruction.fr/</t>
  </si>
  <si>
    <t xml:space="preserve">vintageconstruction.fr</t>
  </si>
  <si>
    <t xml:space="preserve">WINDOOR PERFORMANCES (WINDOOR PERFORMANCES)</t>
  </si>
  <si>
    <t xml:space="preserve">815274998</t>
  </si>
  <si>
    <t xml:space="preserve">Carbon-Blanc</t>
  </si>
  <si>
    <t xml:space="preserve">https://www.windoor-performances.fr/</t>
  </si>
  <si>
    <t xml:space="preserve">windoor-performances.fr</t>
  </si>
  <si>
    <t xml:space="preserve">Domaine : hôte du site trouvé, sans « www. ». Les sites hébergés sur un sous-domaine (ex. wixsite.com) donnent le MX de l'hébergeur.</t>
  </si>
  <si>
    <t xml:space="preserve">Messagerie : « Autre » est aussi attribué quand le domaine n'a pas de MX ou ne répond pas : à vérifier à la main.</t>
  </si>
  <si>
    <t xml:space="preserve">Profil : 1 = Microsoft 365 ; 2 = autre ou Google (hors Microsoft 365). Vide = pas de domaine ou non vérifié.</t>
  </si>
  <si>
    <t xml:space="preserve">Pourquoi non vérifiée</t>
  </si>
  <si>
    <t xml:space="preserve">ADRIEN DUTOUR, CYRILLE DE RUL, CHRISTOPHE LACOSTE, SANDRINE PAGES, AUDREY PELLET-LAVEVE, GREGORY DANDIEU MELODIE REMIA E</t>
  </si>
  <si>
    <t xml:space="preserve">327234076</t>
  </si>
  <si>
    <t xml:space="preserve">Activités juridiques (69.10Z)</t>
  </si>
  <si>
    <t xml:space="preserve">https://annuaire-entreprises.data.gouv.fr/entreprise/327234076</t>
  </si>
  <si>
    <t xml:space="preserve">Profession réglementée, très souvent équipée d'un site : non vérifiée</t>
  </si>
  <si>
    <t xml:space="preserve">ALTHESIA (PRESERVATION DU PATRIMOINE)</t>
  </si>
  <si>
    <t xml:space="preserve">520078320</t>
  </si>
  <si>
    <t xml:space="preserve">https://annuaire-entreprises.data.gouv.fr/entreprise/520078320</t>
  </si>
  <si>
    <t xml:space="preserve">Non vérifiée : objectif de 50 atteint avant. Réserve pour un prochain lot</t>
  </si>
  <si>
    <t xml:space="preserve">ALTUM</t>
  </si>
  <si>
    <t xml:space="preserve">301572442</t>
  </si>
  <si>
    <t xml:space="preserve">https://annuaire-entreprises.data.gouv.fr/entreprise/301572442</t>
  </si>
  <si>
    <t xml:space="preserve">AQUI TELECOMS</t>
  </si>
  <si>
    <t xml:space="preserve">889282984</t>
  </si>
  <si>
    <t xml:space="preserve">https://annuaire-entreprises.data.gouv.fr/entreprise/889282984</t>
  </si>
  <si>
    <t xml:space="preserve">AQUITAINE HOSPITALITY</t>
  </si>
  <si>
    <t xml:space="preserve">433116191</t>
  </si>
  <si>
    <t xml:space="preserve">https://annuaire-entreprises.data.gouv.fr/entreprise/433116191</t>
  </si>
  <si>
    <t xml:space="preserve">ARS (ARS)</t>
  </si>
  <si>
    <t xml:space="preserve">489686386</t>
  </si>
  <si>
    <t xml:space="preserve">https://annuaire-entreprises.data.gouv.fr/entreprise/489686386</t>
  </si>
  <si>
    <t xml:space="preserve">ASA FEDERATION GIRONDINE DES ASA DE DFCI</t>
  </si>
  <si>
    <t xml:space="preserve">293301503</t>
  </si>
  <si>
    <t xml:space="preserve">Autres travaux de génie civil (42.99Z)</t>
  </si>
  <si>
    <t xml:space="preserve">https://annuaire-entreprises.data.gouv.fr/entreprise/293301503</t>
  </si>
  <si>
    <t xml:space="preserve">Organisme public (association syndicale), hors cible</t>
  </si>
  <si>
    <t xml:space="preserve">ASSOCIATION EIPF</t>
  </si>
  <si>
    <t xml:space="preserve">332303999</t>
  </si>
  <si>
    <t xml:space="preserve">https://annuaire-entreprises.data.gouv.fr/entreprise/332303999</t>
  </si>
  <si>
    <t xml:space="preserve">Association, hors cible</t>
  </si>
  <si>
    <t xml:space="preserve">ATOUT' STORES</t>
  </si>
  <si>
    <t xml:space="preserve">815150529</t>
  </si>
  <si>
    <t xml:space="preserve">https://annuaire-entreprises.data.gouv.fr/entreprise/815150529</t>
  </si>
  <si>
    <t xml:space="preserve">AUDIAL EXPERTISE ET CONSEIL (AUDIAL)</t>
  </si>
  <si>
    <t xml:space="preserve">458201738</t>
  </si>
  <si>
    <t xml:space="preserve">https://annuaire-entreprises.data.gouv.fr/entreprise/458201738</t>
  </si>
  <si>
    <t xml:space="preserve">BARBE SIS</t>
  </si>
  <si>
    <t xml:space="preserve">340113398</t>
  </si>
  <si>
    <t xml:space="preserve">https://annuaire-entreprises.data.gouv.fr/entreprise/340113398</t>
  </si>
  <si>
    <t xml:space="preserve">CABINET E. QUERAUX &amp; ASSOCIES</t>
  </si>
  <si>
    <t xml:space="preserve">414973552</t>
  </si>
  <si>
    <t xml:space="preserve">https://annuaire-entreprises.data.gouv.fr/entreprise/414973552</t>
  </si>
  <si>
    <t xml:space="preserve">CIMEA</t>
  </si>
  <si>
    <t xml:space="preserve">538295676</t>
  </si>
  <si>
    <t xml:space="preserve">https://annuaire-entreprises.data.gouv.fr/entreprise/538295676</t>
  </si>
  <si>
    <t xml:space="preserve">CONSTRUCTION GIRONDINE</t>
  </si>
  <si>
    <t xml:space="preserve">979977774</t>
  </si>
  <si>
    <t xml:space="preserve">https://annuaire-entreprises.data.gouv.fr/entreprise/979977774</t>
  </si>
  <si>
    <t xml:space="preserve">ENR COURTAGE</t>
  </si>
  <si>
    <t xml:space="preserve">881890982</t>
  </si>
  <si>
    <t xml:space="preserve">Promotion immobilière de bureaux (41.10B)</t>
  </si>
  <si>
    <t xml:space="preserve">https://annuaire-entreprises.data.gouv.fr/entreprise/881890982</t>
  </si>
  <si>
    <t xml:space="preserve">LARREY&amp;CO (LARREY)</t>
  </si>
  <si>
    <t xml:space="preserve">851970426</t>
  </si>
  <si>
    <t xml:space="preserve">https://annuaire-entreprises.data.gouv.fr/entreprise/851970426</t>
  </si>
  <si>
    <t xml:space="preserve">LAURENT GUITOU, JEAN-MARC PORTE, STEPHANIE CLEMENT-LAMY COMMISSAIRES DE JUSTICE ASSOCIES</t>
  </si>
  <si>
    <t xml:space="preserve">518002118</t>
  </si>
  <si>
    <t xml:space="preserve">Saint-Medard-En-Jalles</t>
  </si>
  <si>
    <t xml:space="preserve">https://annuaire-entreprises.data.gouv.fr/entreprise/518002118</t>
  </si>
  <si>
    <t xml:space="preserve">MAB SUD-OUEST (MAB)</t>
  </si>
  <si>
    <t xml:space="preserve">502061971</t>
  </si>
  <si>
    <t xml:space="preserve">https://annuaire-entreprises.data.gouv.fr/entreprise/502061971</t>
  </si>
  <si>
    <t xml:space="preserve">MAITRES NICOLAS PEYRE, MARIE-CELINE CROQUET, AGNES NUGERE, FABRICE ROMME, CHRISTOPHE PATEOUEILLE, NOTAIRES ASSOCIES</t>
  </si>
  <si>
    <t xml:space="preserve">331386565</t>
  </si>
  <si>
    <t xml:space="preserve">https://annuaire-entreprises.data.gouv.fr/entreprise/331386565</t>
  </si>
  <si>
    <t xml:space="preserve">R.S.I.L FRANCE</t>
  </si>
  <si>
    <t xml:space="preserve">894596006</t>
  </si>
  <si>
    <t xml:space="preserve">Construction de réseaux électriques et de télécommunications (42.22Z)</t>
  </si>
  <si>
    <t xml:space="preserve">https://annuaire-entreprises.data.gouv.fr/entreprise/894596006</t>
  </si>
  <si>
    <t xml:space="preserve">RIVIERE AVOCATS ASSOCIES</t>
  </si>
  <si>
    <t xml:space="preserve">531583219</t>
  </si>
  <si>
    <t xml:space="preserve">https://annuaire-entreprises.data.gouv.fr/entreprise/531583219</t>
  </si>
  <si>
    <t xml:space="preserve">SARL ABEILLE SERVICES (ABEILLE SERVICES)</t>
  </si>
  <si>
    <t xml:space="preserve">511963795</t>
  </si>
  <si>
    <t xml:space="preserve">https://annuaire-entreprises.data.gouv.fr/entreprise/511963795</t>
  </si>
  <si>
    <t xml:space="preserve">SCP NICOLAS MAMONTOFF STEPHANIE ABBADIE-BONNET CELINE LAGARDE ANNE PUIGCERCOS PASCALE BUGEAUD DAMIEN NONY</t>
  </si>
  <si>
    <t xml:space="preserve">781861760</t>
  </si>
  <si>
    <t xml:space="preserve">https://annuaire-entreprises.data.gouv.fr/entreprise/781861760</t>
  </si>
  <si>
    <t xml:space="preserve">SELARL DIDIER DELAFRAYE, BERTRAND PULON, MARIE AVINEN BABIN, BERTRAND NAUTIACQ, MARINE MELLAC DUPIN, EDOUARD AMOUROUX, N (OFFICE NOTARIAL DES JALLES)</t>
  </si>
  <si>
    <t xml:space="preserve">782001176</t>
  </si>
  <si>
    <t xml:space="preserve">https://annuaire-entreprises.data.gouv.fr/entreprise/782001176</t>
  </si>
  <si>
    <t xml:space="preserve">SOCIETE DE PLOMBERIE ET D'ELECTRICITE D'AQUITAINE (SOPEA)</t>
  </si>
  <si>
    <t xml:space="preserve">383482338</t>
  </si>
  <si>
    <t xml:space="preserve">https://annuaire-entreprises.data.gouv.fr/entreprise/383482338</t>
  </si>
  <si>
    <t xml:space="preserve">SOPRA (SOPRA-SOCOA) (SOPRA)</t>
  </si>
  <si>
    <t xml:space="preserve">314467101</t>
  </si>
  <si>
    <t xml:space="preserve">https://annuaire-entreprises.data.gouv.fr/entreprise/314467101</t>
  </si>
  <si>
    <t xml:space="preserve">SSA THIBAULT</t>
  </si>
  <si>
    <t xml:space="preserve">488470527</t>
  </si>
  <si>
    <t xml:space="preserve">https://annuaire-entreprises.data.gouv.fr/entreprise/488470527</t>
  </si>
  <si>
    <t xml:space="preserve">STOA PROMOTION</t>
  </si>
  <si>
    <t xml:space="preserve">877643338</t>
  </si>
  <si>
    <t xml:space="preserve">https://annuaire-entreprises.data.gouv.fr/entreprise/877643338</t>
  </si>
  <si>
    <t xml:space="preserve">YAIGRE NOTAIRES ASSOCIES</t>
  </si>
  <si>
    <t xml:space="preserve">318123155</t>
  </si>
  <si>
    <t xml:space="preserve">https://annuaire-entreprises.data.gouv.fr/entreprise/318123155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</si>
</sst>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annuaire-entreprises.data.gouv.fr/entreprise/531986610" TargetMode="External"/><Relationship Id="rId2" Type="http://schemas.openxmlformats.org/officeDocument/2006/relationships/hyperlink" Target="https://annuaire-entreprises.data.gouv.fr/entreprise/451113153" TargetMode="External"/><Relationship Id="rId3" Type="http://schemas.openxmlformats.org/officeDocument/2006/relationships/hyperlink" Target="https://annuaire-entreprises.data.gouv.fr/entreprise/443242755" TargetMode="External"/><Relationship Id="rId4" Type="http://schemas.openxmlformats.org/officeDocument/2006/relationships/hyperlink" Target="https://annuaire-entreprises.data.gouv.fr/entreprise/901556381" TargetMode="External"/><Relationship Id="rId5" Type="http://schemas.openxmlformats.org/officeDocument/2006/relationships/hyperlink" Target="https://annuaire-entreprises.data.gouv.fr/entreprise/519311252" TargetMode="External"/><Relationship Id="rId6" Type="http://schemas.openxmlformats.org/officeDocument/2006/relationships/hyperlink" Target="https://annuaire-entreprises.data.gouv.fr/entreprise/804308914" TargetMode="External"/><Relationship Id="rId7" Type="http://schemas.openxmlformats.org/officeDocument/2006/relationships/hyperlink" Target="https://annuaire-entreprises.data.gouv.fr/entreprise/807851175" TargetMode="External"/><Relationship Id="rId8" Type="http://schemas.openxmlformats.org/officeDocument/2006/relationships/hyperlink" Target="https://annuaire-entreprises.data.gouv.fr/entreprise/892320888" TargetMode="External"/><Relationship Id="rId9" Type="http://schemas.openxmlformats.org/officeDocument/2006/relationships/hyperlink" Target="https://annuaire-entreprises.data.gouv.fr/entreprise/842294530" TargetMode="External"/><Relationship Id="rId10" Type="http://schemas.openxmlformats.org/officeDocument/2006/relationships/hyperlink" Target="https://annuaire-entreprises.data.gouv.fr/entreprise/841508880" TargetMode="External"/><Relationship Id="rId11" Type="http://schemas.openxmlformats.org/officeDocument/2006/relationships/hyperlink" Target="https://annuaire-entreprises.data.gouv.fr/entreprise/921899019" TargetMode="External"/><Relationship Id="rId12" Type="http://schemas.openxmlformats.org/officeDocument/2006/relationships/hyperlink" Target="https://annuaire-entreprises.data.gouv.fr/entreprise/513842823" TargetMode="External"/><Relationship Id="rId13" Type="http://schemas.openxmlformats.org/officeDocument/2006/relationships/hyperlink" Target="https://annuaire-entreprises.data.gouv.fr/entreprise/788677185" TargetMode="External"/><Relationship Id="rId14" Type="http://schemas.openxmlformats.org/officeDocument/2006/relationships/hyperlink" Target="https://annuaire-entreprises.data.gouv.fr/entreprise/321153009" TargetMode="External"/><Relationship Id="rId15" Type="http://schemas.openxmlformats.org/officeDocument/2006/relationships/hyperlink" Target="https://annuaire-entreprises.data.gouv.fr/entreprise/494627599" TargetMode="External"/><Relationship Id="rId16" Type="http://schemas.openxmlformats.org/officeDocument/2006/relationships/hyperlink" Target="https://annuaire-entreprises.data.gouv.fr/entreprise/328887187" TargetMode="External"/><Relationship Id="rId17" Type="http://schemas.openxmlformats.org/officeDocument/2006/relationships/hyperlink" Target="https://annuaire-entreprises.data.gouv.fr/entreprise/443624697" TargetMode="External"/><Relationship Id="rId18" Type="http://schemas.openxmlformats.org/officeDocument/2006/relationships/hyperlink" Target="https://annuaire-entreprises.data.gouv.fr/entreprise/390662963" TargetMode="External"/><Relationship Id="rId19" Type="http://schemas.openxmlformats.org/officeDocument/2006/relationships/hyperlink" Target="https://annuaire-entreprises.data.gouv.fr/entreprise/439840653" TargetMode="External"/><Relationship Id="rId20" Type="http://schemas.openxmlformats.org/officeDocument/2006/relationships/hyperlink" Target="https://annuaire-entreprises.data.gouv.fr/entreprise/791915416" TargetMode="External"/><Relationship Id="rId21" Type="http://schemas.openxmlformats.org/officeDocument/2006/relationships/hyperlink" Target="https://annuaire-entreprises.data.gouv.fr/entreprise/501102669" TargetMode="External"/><Relationship Id="rId22" Type="http://schemas.openxmlformats.org/officeDocument/2006/relationships/hyperlink" Target="https://annuaire-entreprises.data.gouv.fr/entreprise/842979338" TargetMode="External"/><Relationship Id="rId23" Type="http://schemas.openxmlformats.org/officeDocument/2006/relationships/hyperlink" Target="https://annuaire-entreprises.data.gouv.fr/entreprise/901342311" TargetMode="External"/><Relationship Id="rId24" Type="http://schemas.openxmlformats.org/officeDocument/2006/relationships/hyperlink" Target="https://annuaire-entreprises.data.gouv.fr/entreprise/789962214" TargetMode="External"/><Relationship Id="rId25" Type="http://schemas.openxmlformats.org/officeDocument/2006/relationships/hyperlink" Target="https://annuaire-entreprises.data.gouv.fr/entreprise/390912764" TargetMode="External"/><Relationship Id="rId26" Type="http://schemas.openxmlformats.org/officeDocument/2006/relationships/hyperlink" Target="https://annuaire-entreprises.data.gouv.fr/entreprise/808091870" TargetMode="External"/><Relationship Id="rId27" Type="http://schemas.openxmlformats.org/officeDocument/2006/relationships/hyperlink" Target="https://annuaire-entreprises.data.gouv.fr/entreprise/835224296" TargetMode="External"/><Relationship Id="rId28" Type="http://schemas.openxmlformats.org/officeDocument/2006/relationships/hyperlink" Target="https://annuaire-entreprises.data.gouv.fr/entreprise/527958995" TargetMode="External"/><Relationship Id="rId29" Type="http://schemas.openxmlformats.org/officeDocument/2006/relationships/hyperlink" Target="https://annuaire-entreprises.data.gouv.fr/entreprise/429936032" TargetMode="External"/><Relationship Id="rId30" Type="http://schemas.openxmlformats.org/officeDocument/2006/relationships/hyperlink" Target="https://annuaire-entreprises.data.gouv.fr/entreprise/839192572" TargetMode="External"/><Relationship Id="rId31" Type="http://schemas.openxmlformats.org/officeDocument/2006/relationships/hyperlink" Target="https://annuaire-entreprises.data.gouv.fr/entreprise/515040046" TargetMode="External"/><Relationship Id="rId32" Type="http://schemas.openxmlformats.org/officeDocument/2006/relationships/hyperlink" Target="https://annuaire-entreprises.data.gouv.fr/entreprise/878965680" TargetMode="External"/><Relationship Id="rId33" Type="http://schemas.openxmlformats.org/officeDocument/2006/relationships/hyperlink" Target="https://annuaire-entreprises.data.gouv.fr/entreprise/501229835" TargetMode="External"/><Relationship Id="rId34" Type="http://schemas.openxmlformats.org/officeDocument/2006/relationships/hyperlink" Target="https://annuaire-entreprises.data.gouv.fr/entreprise/510963473" TargetMode="External"/><Relationship Id="rId35" Type="http://schemas.openxmlformats.org/officeDocument/2006/relationships/hyperlink" Target="https://annuaire-entreprises.data.gouv.fr/entreprise/326554847" TargetMode="External"/><Relationship Id="rId36" Type="http://schemas.openxmlformats.org/officeDocument/2006/relationships/hyperlink" Target="https://annuaire-entreprises.data.gouv.fr/entreprise/447693110" TargetMode="External"/><Relationship Id="rId37" Type="http://schemas.openxmlformats.org/officeDocument/2006/relationships/hyperlink" Target="https://annuaire-entreprises.data.gouv.fr/entreprise/753979327" TargetMode="External"/><Relationship Id="rId38" Type="http://schemas.openxmlformats.org/officeDocument/2006/relationships/hyperlink" Target="https://annuaire-entreprises.data.gouv.fr/entreprise/316881226" TargetMode="External"/><Relationship Id="rId39" Type="http://schemas.openxmlformats.org/officeDocument/2006/relationships/hyperlink" Target="https://annuaire-entreprises.data.gouv.fr/entreprise/353778020" TargetMode="External"/><Relationship Id="rId40" Type="http://schemas.openxmlformats.org/officeDocument/2006/relationships/hyperlink" Target="https://annuaire-entreprises.data.gouv.fr/entreprise/437488182" TargetMode="External"/><Relationship Id="rId41" Type="http://schemas.openxmlformats.org/officeDocument/2006/relationships/hyperlink" Target="https://annuaire-entreprises.data.gouv.fr/entreprise/789781978" TargetMode="External"/><Relationship Id="rId42" Type="http://schemas.openxmlformats.org/officeDocument/2006/relationships/hyperlink" Target="https://annuaire-entreprises.data.gouv.fr/entreprise/305708612" TargetMode="External"/><Relationship Id="rId43" Type="http://schemas.openxmlformats.org/officeDocument/2006/relationships/hyperlink" Target="https://annuaire-entreprises.data.gouv.fr/entreprise/351808845" TargetMode="External"/><Relationship Id="rId44" Type="http://schemas.openxmlformats.org/officeDocument/2006/relationships/hyperlink" Target="https://annuaire-entreprises.data.gouv.fr/entreprise/824224893" TargetMode="External"/><Relationship Id="rId45" Type="http://schemas.openxmlformats.org/officeDocument/2006/relationships/hyperlink" Target="https://annuaire-entreprises.data.gouv.fr/entreprise/500391214" TargetMode="External"/><Relationship Id="rId46" Type="http://schemas.openxmlformats.org/officeDocument/2006/relationships/hyperlink" Target="https://annuaire-entreprises.data.gouv.fr/entreprise/790281059" TargetMode="External"/><Relationship Id="rId47" Type="http://schemas.openxmlformats.org/officeDocument/2006/relationships/hyperlink" Target="https://annuaire-entreprises.data.gouv.fr/entreprise/854070752" TargetMode="External"/><Relationship Id="rId48" Type="http://schemas.openxmlformats.org/officeDocument/2006/relationships/hyperlink" Target="https://annuaire-entreprises.data.gouv.fr/entreprise/531277101" TargetMode="External"/><Relationship Id="rId49" Type="http://schemas.openxmlformats.org/officeDocument/2006/relationships/hyperlink" Target="https://annuaire-entreprises.data.gouv.fr/entreprise/752303537" TargetMode="External"/><Relationship Id="rId50" Type="http://schemas.openxmlformats.org/officeDocument/2006/relationships/hyperlink" Target="https://annuaire-entreprises.data.gouv.fr/entreprise/819838830" TargetMode="External"/><Relationship Id="rId51" Type="http://schemas.openxmlformats.org/officeDocument/2006/relationships/hyperlink" Target="https://annuaire-entreprises.data.gouv.fr/entreprise/414973073" TargetMode="External"/><Relationship Id="rId52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2cexpertises.com/" TargetMode="External"/><Relationship Id="rId2" Type="http://schemas.openxmlformats.org/officeDocument/2006/relationships/hyperlink" Target="https://www.acer-creation.fr/" TargetMode="External"/><Relationship Id="rId3" Type="http://schemas.openxmlformats.org/officeDocument/2006/relationships/hyperlink" Target="https://www.afb33-peinture.fr/" TargetMode="External"/><Relationship Id="rId4" Type="http://schemas.openxmlformats.org/officeDocument/2006/relationships/hyperlink" Target="http://www.climatisation-chauffage-33.com/" TargetMode="External"/><Relationship Id="rId5" Type="http://schemas.openxmlformats.org/officeDocument/2006/relationships/hyperlink" Target="https://www.asheurope.com/" TargetMode="External"/><Relationship Id="rId6" Type="http://schemas.openxmlformats.org/officeDocument/2006/relationships/hyperlink" Target="https://www.aquitaine-asc.fr/" TargetMode="External"/><Relationship Id="rId7" Type="http://schemas.openxmlformats.org/officeDocument/2006/relationships/hyperlink" Target="https://archenergie.fr/" TargetMode="External"/><Relationship Id="rId8" Type="http://schemas.openxmlformats.org/officeDocument/2006/relationships/hyperlink" Target="https://arthea-sas.fr/" TargetMode="External"/><Relationship Id="rId9" Type="http://schemas.openxmlformats.org/officeDocument/2006/relationships/hyperlink" Target="https://www.jsd-groupe.com/atelier-co/" TargetMode="External"/><Relationship Id="rId10" Type="http://schemas.openxmlformats.org/officeDocument/2006/relationships/hyperlink" Target="https://www.atlasdemolition.fr/" TargetMode="External"/><Relationship Id="rId11" Type="http://schemas.openxmlformats.org/officeDocument/2006/relationships/hyperlink" Target="https://sasb2c.com/" TargetMode="External"/><Relationship Id="rId12" Type="http://schemas.openxmlformats.org/officeDocument/2006/relationships/hyperlink" Target="https://www.bmix.fr/" TargetMode="External"/><Relationship Id="rId13" Type="http://schemas.openxmlformats.org/officeDocument/2006/relationships/hyperlink" Target="https://www.bat-sm.com/" TargetMode="External"/><Relationship Id="rId14" Type="http://schemas.openxmlformats.org/officeDocument/2006/relationships/hyperlink" Target="https://bois-concept-m.fr/" TargetMode="External"/><Relationship Id="rId15" Type="http://schemas.openxmlformats.org/officeDocument/2006/relationships/hyperlink" Target="http://www.bomas-construction.com/" TargetMode="External"/><Relationship Id="rId16" Type="http://schemas.openxmlformats.org/officeDocument/2006/relationships/hyperlink" Target="https://www.bonnet-etancheite.com/" TargetMode="External"/><Relationship Id="rId17" Type="http://schemas.openxmlformats.org/officeDocument/2006/relationships/hyperlink" Target="https://www.bordeaux-fermeture.fr/" TargetMode="External"/><Relationship Id="rId18" Type="http://schemas.openxmlformats.org/officeDocument/2006/relationships/hyperlink" Target="https://www.comby.fr/" TargetMode="External"/><Relationship Id="rId19" Type="http://schemas.openxmlformats.org/officeDocument/2006/relationships/hyperlink" Target="https://expertys-metropole.com/" TargetMode="External"/><Relationship Id="rId20" Type="http://schemas.openxmlformats.org/officeDocument/2006/relationships/hyperlink" Target="https://www.cabinet-mandin.fr/" TargetMode="External"/><Relationship Id="rId21" Type="http://schemas.openxmlformats.org/officeDocument/2006/relationships/hyperlink" Target="http://construcoesjoses.com/" TargetMode="External"/><Relationship Id="rId22" Type="http://schemas.openxmlformats.org/officeDocument/2006/relationships/hyperlink" Target="https://www.culturecomptable.com/" TargetMode="External"/><Relationship Id="rId23" Type="http://schemas.openxmlformats.org/officeDocument/2006/relationships/hyperlink" Target="https://ed-energy.fr/" TargetMode="External"/><Relationship Id="rId24" Type="http://schemas.openxmlformats.org/officeDocument/2006/relationships/hyperlink" Target="https://electro-gaz.fr/" TargetMode="External"/><Relationship Id="rId25" Type="http://schemas.openxmlformats.org/officeDocument/2006/relationships/hyperlink" Target="https://baroumes.fr/" TargetMode="External"/><Relationship Id="rId26" Type="http://schemas.openxmlformats.org/officeDocument/2006/relationships/hyperlink" Target="https://www.lesateliersduphil.net/" TargetMode="External"/><Relationship Id="rId27" Type="http://schemas.openxmlformats.org/officeDocument/2006/relationships/hyperlink" Target="https://allyre.com/" TargetMode="External"/><Relationship Id="rId28" Type="http://schemas.openxmlformats.org/officeDocument/2006/relationships/hyperlink" Target="https://www.espaces-couleurs.fr/" TargetMode="External"/><Relationship Id="rId29" Type="http://schemas.openxmlformats.org/officeDocument/2006/relationships/hyperlink" Target="https://www.cimea.fr/eveaa/" TargetMode="External"/><Relationship Id="rId30" Type="http://schemas.openxmlformats.org/officeDocument/2006/relationships/hyperlink" Target="https://www.fradin-promotion.fr/" TargetMode="External"/><Relationship Id="rId31" Type="http://schemas.openxmlformats.org/officeDocument/2006/relationships/hyperlink" Target="https://www.garance-couverture.fr/" TargetMode="External"/><Relationship Id="rId32" Type="http://schemas.openxmlformats.org/officeDocument/2006/relationships/hyperlink" Target="https://www.gerfa.fr/" TargetMode="External"/><Relationship Id="rId33" Type="http://schemas.openxmlformats.org/officeDocument/2006/relationships/hyperlink" Target="https://harribeyconstructions.fr/" TargetMode="External"/><Relationship Id="rId34" Type="http://schemas.openxmlformats.org/officeDocument/2006/relationships/hyperlink" Target="https://hdms33.fr/" TargetMode="External"/><Relationship Id="rId35" Type="http://schemas.openxmlformats.org/officeDocument/2006/relationships/hyperlink" Target="https://ilexascenseurs.com/agences/ilex-aquitaine/" TargetMode="External"/><Relationship Id="rId36" Type="http://schemas.openxmlformats.org/officeDocument/2006/relationships/hyperlink" Target="https://www.groupedemonchy.fr/" TargetMode="External"/><Relationship Id="rId37" Type="http://schemas.openxmlformats.org/officeDocument/2006/relationships/hyperlink" Target="https://www.jsd-groupe.com/jsd-entreprise/" TargetMode="External"/><Relationship Id="rId38" Type="http://schemas.openxmlformats.org/officeDocument/2006/relationships/hyperlink" Target="https://julienlavoinecharpentiers.com/" TargetMode="External"/><Relationship Id="rId39" Type="http://schemas.openxmlformats.org/officeDocument/2006/relationships/hyperlink" Target="https://k-pax.fr/" TargetMode="External"/><Relationship Id="rId40" Type="http://schemas.openxmlformats.org/officeDocument/2006/relationships/hyperlink" Target="https://www.k2energies.com/" TargetMode="External"/><Relationship Id="rId41" Type="http://schemas.openxmlformats.org/officeDocument/2006/relationships/hyperlink" Target="https://kalitec.fr/" TargetMode="External"/><Relationship Id="rId42" Type="http://schemas.openxmlformats.org/officeDocument/2006/relationships/hyperlink" Target="https://www.legua-bati.fr/" TargetMode="External"/><Relationship Id="rId43" Type="http://schemas.openxmlformats.org/officeDocument/2006/relationships/hyperlink" Target="https://www.lejeuneentreprise.fr/" TargetMode="External"/><Relationship Id="rId44" Type="http://schemas.openxmlformats.org/officeDocument/2006/relationships/hyperlink" Target="https://www.martin-monteils.fr/" TargetMode="External"/><Relationship Id="rId45" Type="http://schemas.openxmlformats.org/officeDocument/2006/relationships/hyperlink" Target="https://www.martinmenuiseries.net/" TargetMode="External"/><Relationship Id="rId46" Type="http://schemas.openxmlformats.org/officeDocument/2006/relationships/hyperlink" Target="https://www.mceperchalec.com/" TargetMode="External"/><Relationship Id="rId47" Type="http://schemas.openxmlformats.org/officeDocument/2006/relationships/hyperlink" Target="https://www.mondialmenuiseries.fr/" TargetMode="External"/><Relationship Id="rId48" Type="http://schemas.openxmlformats.org/officeDocument/2006/relationships/hyperlink" Target="https://opna.fr/" TargetMode="External"/><Relationship Id="rId49" Type="http://schemas.openxmlformats.org/officeDocument/2006/relationships/hyperlink" Target="https://www.quanthic-ocean.com/" TargetMode="External"/><Relationship Id="rId50" Type="http://schemas.openxmlformats.org/officeDocument/2006/relationships/hyperlink" Target="https://www.rdmb-construction.fr/" TargetMode="External"/><Relationship Id="rId51" Type="http://schemas.openxmlformats.org/officeDocument/2006/relationships/hyperlink" Target="https://renosystemes.com/" TargetMode="External"/><Relationship Id="rId52" Type="http://schemas.openxmlformats.org/officeDocument/2006/relationships/hyperlink" Target="https://www.rpi33.fr/" TargetMode="External"/><Relationship Id="rId53" Type="http://schemas.openxmlformats.org/officeDocument/2006/relationships/hyperlink" Target="https://www.rtso.fr/" TargetMode="External"/><Relationship Id="rId54" Type="http://schemas.openxmlformats.org/officeDocument/2006/relationships/hyperlink" Target="https://www.sappeinture.fr/" TargetMode="External"/><Relationship Id="rId55" Type="http://schemas.openxmlformats.org/officeDocument/2006/relationships/hyperlink" Target="https://www.foerstnerfreres.com/" TargetMode="External"/><Relationship Id="rId56" Type="http://schemas.openxmlformats.org/officeDocument/2006/relationships/hyperlink" Target="https://www.constructions-metalliques-bordeaux.com/" TargetMode="External"/><Relationship Id="rId57" Type="http://schemas.openxmlformats.org/officeDocument/2006/relationships/hyperlink" Target="https://www.ccclaverie.com/" TargetMode="External"/><Relationship Id="rId58" Type="http://schemas.openxmlformats.org/officeDocument/2006/relationships/hyperlink" Target="https://sefcoentreprises.wixsite.com/sefcoentreprises" TargetMode="External"/><Relationship Id="rId59" Type="http://schemas.openxmlformats.org/officeDocument/2006/relationships/hyperlink" Target="https://www.servisun-bordeaux.com/" TargetMode="External"/><Relationship Id="rId60" Type="http://schemas.openxmlformats.org/officeDocument/2006/relationships/hyperlink" Target="https://www.signalax-marquage-signalisation.fr/" TargetMode="External"/><Relationship Id="rId61" Type="http://schemas.openxmlformats.org/officeDocument/2006/relationships/hyperlink" Target="https://www.soditel.fr/" TargetMode="External"/><Relationship Id="rId62" Type="http://schemas.openxmlformats.org/officeDocument/2006/relationships/hyperlink" Target="http://www.sopego.com/" TargetMode="External"/><Relationship Id="rId63" Type="http://schemas.openxmlformats.org/officeDocument/2006/relationships/hyperlink" Target="https://www.sorreba-technologie.fr/" TargetMode="External"/><Relationship Id="rId64" Type="http://schemas.openxmlformats.org/officeDocument/2006/relationships/hyperlink" Target="https://sudouestpavage.fr/" TargetMode="External"/><Relationship Id="rId65" Type="http://schemas.openxmlformats.org/officeDocument/2006/relationships/hyperlink" Target="https://www.sungreen.fr/" TargetMode="External"/><Relationship Id="rId66" Type="http://schemas.openxmlformats.org/officeDocument/2006/relationships/hyperlink" Target="https://techsun-wscompany.fr/" TargetMode="External"/><Relationship Id="rId67" Type="http://schemas.openxmlformats.org/officeDocument/2006/relationships/hyperlink" Target="https://www.jsd-groupe.com/tonel/" TargetMode="External"/><Relationship Id="rId68" Type="http://schemas.openxmlformats.org/officeDocument/2006/relationships/hyperlink" Target="https://www.travauxaquitains.com/" TargetMode="External"/><Relationship Id="rId69" Type="http://schemas.openxmlformats.org/officeDocument/2006/relationships/hyperlink" Target="https://www.ufa-genieclimatique.com/" TargetMode="External"/><Relationship Id="rId70" Type="http://schemas.openxmlformats.org/officeDocument/2006/relationships/hyperlink" Target="https://www.vintageconstruction.fr/" TargetMode="External"/><Relationship Id="rId71" Type="http://schemas.openxmlformats.org/officeDocument/2006/relationships/hyperlink" Target="https://www.windoor-performances.fr/" TargetMode="External"/><Relationship Id="rId72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annuaire-entreprises.data.gouv.fr/entreprise/327234076" TargetMode="External"/><Relationship Id="rId2" Type="http://schemas.openxmlformats.org/officeDocument/2006/relationships/hyperlink" Target="https://annuaire-entreprises.data.gouv.fr/entreprise/520078320" TargetMode="External"/><Relationship Id="rId3" Type="http://schemas.openxmlformats.org/officeDocument/2006/relationships/hyperlink" Target="https://annuaire-entreprises.data.gouv.fr/entreprise/301572442" TargetMode="External"/><Relationship Id="rId4" Type="http://schemas.openxmlformats.org/officeDocument/2006/relationships/hyperlink" Target="https://annuaire-entreprises.data.gouv.fr/entreprise/889282984" TargetMode="External"/><Relationship Id="rId5" Type="http://schemas.openxmlformats.org/officeDocument/2006/relationships/hyperlink" Target="https://annuaire-entreprises.data.gouv.fr/entreprise/433116191" TargetMode="External"/><Relationship Id="rId6" Type="http://schemas.openxmlformats.org/officeDocument/2006/relationships/hyperlink" Target="https://annuaire-entreprises.data.gouv.fr/entreprise/489686386" TargetMode="External"/><Relationship Id="rId7" Type="http://schemas.openxmlformats.org/officeDocument/2006/relationships/hyperlink" Target="https://annuaire-entreprises.data.gouv.fr/entreprise/293301503" TargetMode="External"/><Relationship Id="rId8" Type="http://schemas.openxmlformats.org/officeDocument/2006/relationships/hyperlink" Target="https://annuaire-entreprises.data.gouv.fr/entreprise/332303999" TargetMode="External"/><Relationship Id="rId9" Type="http://schemas.openxmlformats.org/officeDocument/2006/relationships/hyperlink" Target="https://annuaire-entreprises.data.gouv.fr/entreprise/815150529" TargetMode="External"/><Relationship Id="rId10" Type="http://schemas.openxmlformats.org/officeDocument/2006/relationships/hyperlink" Target="https://annuaire-entreprises.data.gouv.fr/entreprise/458201738" TargetMode="External"/><Relationship Id="rId11" Type="http://schemas.openxmlformats.org/officeDocument/2006/relationships/hyperlink" Target="https://annuaire-entreprises.data.gouv.fr/entreprise/340113398" TargetMode="External"/><Relationship Id="rId12" Type="http://schemas.openxmlformats.org/officeDocument/2006/relationships/hyperlink" Target="https://annuaire-entreprises.data.gouv.fr/entreprise/414973552" TargetMode="External"/><Relationship Id="rId13" Type="http://schemas.openxmlformats.org/officeDocument/2006/relationships/hyperlink" Target="https://annuaire-entreprises.data.gouv.fr/entreprise/538295676" TargetMode="External"/><Relationship Id="rId14" Type="http://schemas.openxmlformats.org/officeDocument/2006/relationships/hyperlink" Target="https://annuaire-entreprises.data.gouv.fr/entreprise/979977774" TargetMode="External"/><Relationship Id="rId15" Type="http://schemas.openxmlformats.org/officeDocument/2006/relationships/hyperlink" Target="https://annuaire-entreprises.data.gouv.fr/entreprise/881890982" TargetMode="External"/><Relationship Id="rId16" Type="http://schemas.openxmlformats.org/officeDocument/2006/relationships/hyperlink" Target="https://annuaire-entreprises.data.gouv.fr/entreprise/851970426" TargetMode="External"/><Relationship Id="rId17" Type="http://schemas.openxmlformats.org/officeDocument/2006/relationships/hyperlink" Target="https://annuaire-entreprises.data.gouv.fr/entreprise/518002118" TargetMode="External"/><Relationship Id="rId18" Type="http://schemas.openxmlformats.org/officeDocument/2006/relationships/hyperlink" Target="https://annuaire-entreprises.data.gouv.fr/entreprise/502061971" TargetMode="External"/><Relationship Id="rId19" Type="http://schemas.openxmlformats.org/officeDocument/2006/relationships/hyperlink" Target="https://annuaire-entreprises.data.gouv.fr/entreprise/331386565" TargetMode="External"/><Relationship Id="rId20" Type="http://schemas.openxmlformats.org/officeDocument/2006/relationships/hyperlink" Target="https://annuaire-entreprises.data.gouv.fr/entreprise/894596006" TargetMode="External"/><Relationship Id="rId21" Type="http://schemas.openxmlformats.org/officeDocument/2006/relationships/hyperlink" Target="https://annuaire-entreprises.data.gouv.fr/entreprise/531583219" TargetMode="External"/><Relationship Id="rId22" Type="http://schemas.openxmlformats.org/officeDocument/2006/relationships/hyperlink" Target="https://annuaire-entreprises.data.gouv.fr/entreprise/511963795" TargetMode="External"/><Relationship Id="rId23" Type="http://schemas.openxmlformats.org/officeDocument/2006/relationships/hyperlink" Target="https://annuaire-entreprises.data.gouv.fr/entreprise/781861760" TargetMode="External"/><Relationship Id="rId24" Type="http://schemas.openxmlformats.org/officeDocument/2006/relationships/hyperlink" Target="https://annuaire-entreprises.data.gouv.fr/entreprise/782001176" TargetMode="External"/><Relationship Id="rId25" Type="http://schemas.openxmlformats.org/officeDocument/2006/relationships/hyperlink" Target="https://annuaire-entreprises.data.gouv.fr/entreprise/383482338" TargetMode="External"/><Relationship Id="rId26" Type="http://schemas.openxmlformats.org/officeDocument/2006/relationships/hyperlink" Target="https://annuaire-entreprises.data.gouv.fr/entreprise/314467101" TargetMode="External"/><Relationship Id="rId27" Type="http://schemas.openxmlformats.org/officeDocument/2006/relationships/hyperlink" Target="https://annuaire-entreprises.data.gouv.fr/entreprise/488470527" TargetMode="External"/><Relationship Id="rId28" Type="http://schemas.openxmlformats.org/officeDocument/2006/relationships/hyperlink" Target="https://annuaire-entreprises.data.gouv.fr/entreprise/877643338" TargetMode="External"/><Relationship Id="rId29" Type="http://schemas.openxmlformats.org/officeDocument/2006/relationships/hyperlink" Target="https://annuaire-entreprises.data.gouv.fr/entreprise/318123155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90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3" t="s">
        <v>2</v>
      </c>
    </row>
    <row r="4" customFormat="false" ht="15" hidden="false" customHeight="true" outlineLevel="0" collapsed="false">
      <c r="A4" s="3"/>
      <c r="B4" s="3"/>
    </row>
    <row r="5" customFormat="false" ht="15" hidden="false" customHeight="true" outlineLevel="0" collapsed="false">
      <c r="A5" s="4" t="s">
        <v>3</v>
      </c>
      <c r="B5" s="3"/>
    </row>
    <row r="6" customFormat="false" ht="15" hidden="false" customHeight="true" outlineLevel="0" collapsed="false">
      <c r="A6" s="3" t="s">
        <v>4</v>
      </c>
      <c r="B6" s="5" t="n">
        <f aca="false">COUNTA(Prospects!C2:C200)</f>
        <v>51</v>
      </c>
    </row>
    <row r="7" customFormat="false" ht="15" hidden="false" customHeight="true" outlineLevel="0" collapsed="false">
      <c r="A7" s="3" t="s">
        <v>5</v>
      </c>
      <c r="B7" s="5" t="n">
        <f aca="false">COUNTIF(Prospects!I2:I200,"Aucun trouvé")</f>
        <v>47</v>
      </c>
    </row>
    <row r="8" customFormat="false" ht="15" hidden="false" customHeight="true" outlineLevel="0" collapsed="false">
      <c r="A8" s="3" t="s">
        <v>6</v>
      </c>
      <c r="B8" s="5" t="n">
        <f aca="false">COUNTIF(Prospects!I2:I200,"Incertain")</f>
        <v>4</v>
      </c>
    </row>
    <row r="9" customFormat="false" ht="15" hidden="false" customHeight="true" outlineLevel="0" collapsed="false">
      <c r="A9" s="3" t="s">
        <v>7</v>
      </c>
      <c r="B9" s="5" t="n">
        <f aca="false">COUNTA('Écartées (site trouvé)'!A2:A200)</f>
        <v>78</v>
      </c>
    </row>
    <row r="10" customFormat="false" ht="15" hidden="false" customHeight="true" outlineLevel="0" collapsed="false">
      <c r="A10" s="3" t="s">
        <v>8</v>
      </c>
      <c r="B10" s="5" t="n">
        <f aca="false">COUNTA('Non vérifiées'!A2:A200)</f>
        <v>29</v>
      </c>
    </row>
    <row r="11" customFormat="false" ht="15" hidden="false" customHeight="true" outlineLevel="0" collapsed="false">
      <c r="A11" s="3"/>
      <c r="B11" s="3"/>
    </row>
    <row r="12" customFormat="false" ht="15" hidden="false" customHeight="true" outlineLevel="0" collapsed="false">
      <c r="A12" s="4" t="s">
        <v>9</v>
      </c>
      <c r="B12" s="3"/>
    </row>
    <row r="13" customFormat="false" ht="15" hidden="false" customHeight="true" outlineLevel="0" collapsed="false">
      <c r="A13" s="3" t="s">
        <v>10</v>
      </c>
      <c r="B13" s="3" t="s">
        <v>11</v>
      </c>
    </row>
    <row r="14" customFormat="false" ht="15" hidden="false" customHeight="true" outlineLevel="0" collapsed="false">
      <c r="A14" s="3" t="s">
        <v>12</v>
      </c>
      <c r="B14" s="3" t="s">
        <v>13</v>
      </c>
    </row>
    <row r="15" customFormat="false" ht="15" hidden="false" customHeight="true" outlineLevel="0" collapsed="false">
      <c r="A15" s="3" t="s">
        <v>14</v>
      </c>
      <c r="B15" s="3" t="s">
        <v>15</v>
      </c>
    </row>
    <row r="16" customFormat="false" ht="23.25" hidden="false" customHeight="true" outlineLevel="0" collapsed="false">
      <c r="A16" s="3" t="s">
        <v>16</v>
      </c>
      <c r="B16" s="3" t="s">
        <v>17</v>
      </c>
    </row>
    <row r="17" customFormat="false" ht="15" hidden="false" customHeight="true" outlineLevel="0" collapsed="false">
      <c r="A17" s="3"/>
      <c r="B17" s="3"/>
    </row>
    <row r="18" customFormat="false" ht="15" hidden="false" customHeight="true" outlineLevel="0" collapsed="false">
      <c r="A18" s="4" t="s">
        <v>18</v>
      </c>
      <c r="B18" s="3"/>
    </row>
    <row r="19" customFormat="false" ht="23.25" hidden="false" customHeight="true" outlineLevel="0" collapsed="false">
      <c r="A19" s="3" t="s">
        <v>19</v>
      </c>
      <c r="B19" s="3" t="s">
        <v>20</v>
      </c>
    </row>
    <row r="20" customFormat="false" ht="23.25" hidden="false" customHeight="true" outlineLevel="0" collapsed="false">
      <c r="A20" s="3" t="s">
        <v>21</v>
      </c>
      <c r="B20" s="3" t="s">
        <v>22</v>
      </c>
    </row>
    <row r="21" customFormat="false" ht="15" hidden="false" customHeight="true" outlineLevel="0" collapsed="false">
      <c r="A21" s="3"/>
      <c r="B21" s="3"/>
    </row>
    <row r="22" customFormat="false" ht="15" hidden="false" customHeight="true" outlineLevel="0" collapsed="false">
      <c r="A22" s="4" t="s">
        <v>23</v>
      </c>
      <c r="B22" s="3"/>
    </row>
    <row r="23" customFormat="false" ht="15" hidden="false" customHeight="true" outlineLevel="0" collapsed="false">
      <c r="A23" s="3" t="s">
        <v>24</v>
      </c>
      <c r="B23" s="6" t="s">
        <v>25</v>
      </c>
    </row>
    <row r="24" customFormat="false" ht="23.25" hidden="false" customHeight="true" outlineLevel="0" collapsed="false">
      <c r="A24" s="3" t="s">
        <v>26</v>
      </c>
      <c r="B24" s="3" t="s">
        <v>27</v>
      </c>
    </row>
    <row r="25" customFormat="false" ht="15" hidden="false" customHeight="true" outlineLevel="0" collapsed="false">
      <c r="A25" s="3"/>
      <c r="B25" s="3"/>
    </row>
    <row r="26" customFormat="false" ht="15" hidden="false" customHeight="true" outlineLevel="0" collapsed="false">
      <c r="A26" s="4" t="s">
        <v>28</v>
      </c>
      <c r="B26" s="3"/>
    </row>
    <row r="27" customFormat="false" ht="15" hidden="false" customHeight="true" outlineLevel="0" collapsed="false">
      <c r="A27" s="3" t="s">
        <v>29</v>
      </c>
      <c r="B27" s="3" t="s">
        <v>30</v>
      </c>
    </row>
    <row r="28" customFormat="false" ht="15" hidden="false" customHeight="true" outlineLevel="0" collapsed="false">
      <c r="A28" s="3" t="s">
        <v>31</v>
      </c>
      <c r="B28" s="3" t="s">
        <v>32</v>
      </c>
    </row>
    <row r="29" customFormat="false" ht="23.25" hidden="false" customHeight="true" outlineLevel="0" collapsed="false">
      <c r="A29" s="3" t="s">
        <v>33</v>
      </c>
      <c r="B29" s="3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6"/>
    <col collapsed="false" customWidth="true" hidden="false" outlineLevel="0" max="3" min="3" style="1" width="34"/>
    <col collapsed="false" customWidth="true" hidden="false" outlineLevel="0" max="4" min="4" style="1" width="12"/>
    <col collapsed="false" customWidth="true" hidden="false" outlineLevel="0" max="5" min="5" style="1" width="30"/>
    <col collapsed="false" customWidth="true" hidden="false" outlineLevel="0" max="6" min="6" style="1" width="9"/>
    <col collapsed="false" customWidth="true" hidden="false" outlineLevel="0" max="7" min="7" style="1" width="18"/>
    <col collapsed="false" customWidth="true" hidden="false" outlineLevel="0" max="8" min="8" style="1" width="38"/>
    <col collapsed="false" customWidth="true" hidden="false" outlineLevel="0" max="9" min="9" style="1" width="12"/>
    <col collapsed="false" customWidth="true" hidden="false" outlineLevel="0" max="10" min="10" style="1" width="48"/>
    <col collapsed="false" customWidth="true" hidden="false" outlineLevel="0" max="11" min="11" style="1" width="22"/>
    <col collapsed="false" customWidth="true" hidden="false" outlineLevel="0" max="12" min="12" style="1" width="16"/>
    <col collapsed="false" customWidth="true" hidden="false" outlineLevel="0" max="13" min="13" style="1" width="14"/>
    <col collapsed="false" customWidth="true" hidden="false" outlineLevel="0" max="14" min="14" style="1" width="20"/>
    <col collapsed="false" customWidth="true" hidden="false" outlineLevel="0" max="15" min="15" style="1" width="30"/>
  </cols>
  <sheetData>
    <row r="1" customFormat="false" ht="30" hidden="false" customHeight="true" outlineLevel="0" collapsed="false">
      <c r="A1" s="7" t="s">
        <v>35</v>
      </c>
      <c r="B1" s="7" t="s">
        <v>36</v>
      </c>
      <c r="C1" s="7" t="s">
        <v>37</v>
      </c>
      <c r="D1" s="7" t="s">
        <v>38</v>
      </c>
      <c r="E1" s="7" t="s">
        <v>39</v>
      </c>
      <c r="F1" s="7" t="s">
        <v>12</v>
      </c>
      <c r="G1" s="7" t="s">
        <v>40</v>
      </c>
      <c r="H1" s="7" t="s">
        <v>41</v>
      </c>
      <c r="I1" s="7" t="s">
        <v>42</v>
      </c>
      <c r="J1" s="7" t="s">
        <v>43</v>
      </c>
      <c r="K1" s="7" t="s">
        <v>44</v>
      </c>
      <c r="L1" s="7" t="s">
        <v>45</v>
      </c>
      <c r="M1" s="7" t="s">
        <v>46</v>
      </c>
      <c r="N1" s="7" t="s">
        <v>47</v>
      </c>
      <c r="O1" s="7" t="s">
        <v>48</v>
      </c>
    </row>
    <row r="2" customFormat="false" ht="23.25" hidden="false" customHeight="true" outlineLevel="0" collapsed="false">
      <c r="A2" s="8" t="n">
        <v>1</v>
      </c>
      <c r="B2" s="8" t="n">
        <v>2</v>
      </c>
      <c r="C2" s="8" t="s">
        <v>49</v>
      </c>
      <c r="D2" s="8" t="s">
        <v>50</v>
      </c>
      <c r="E2" s="8" t="s">
        <v>51</v>
      </c>
      <c r="F2" s="8" t="s">
        <v>52</v>
      </c>
      <c r="G2" s="8" t="s">
        <v>53</v>
      </c>
      <c r="H2" s="8" t="s">
        <v>54</v>
      </c>
      <c r="I2" s="8" t="s">
        <v>55</v>
      </c>
      <c r="J2" s="8" t="s">
        <v>56</v>
      </c>
      <c r="K2" s="9" t="s">
        <v>57</v>
      </c>
      <c r="L2" s="10" t="s">
        <v>58</v>
      </c>
      <c r="M2" s="10"/>
      <c r="N2" s="10"/>
      <c r="O2" s="10"/>
    </row>
    <row r="3" customFormat="false" ht="23.25" hidden="false" customHeight="true" outlineLevel="0" collapsed="false">
      <c r="A3" s="8" t="n">
        <v>2</v>
      </c>
      <c r="B3" s="8" t="n">
        <v>2</v>
      </c>
      <c r="C3" s="8" t="s">
        <v>59</v>
      </c>
      <c r="D3" s="8" t="s">
        <v>60</v>
      </c>
      <c r="E3" s="8" t="s">
        <v>61</v>
      </c>
      <c r="F3" s="8" t="s">
        <v>62</v>
      </c>
      <c r="G3" s="8" t="s">
        <v>63</v>
      </c>
      <c r="H3" s="8" t="s">
        <v>64</v>
      </c>
      <c r="I3" s="8" t="s">
        <v>55</v>
      </c>
      <c r="J3" s="8" t="s">
        <v>65</v>
      </c>
      <c r="K3" s="9" t="s">
        <v>66</v>
      </c>
      <c r="L3" s="10" t="s">
        <v>58</v>
      </c>
      <c r="M3" s="10"/>
      <c r="N3" s="10"/>
      <c r="O3" s="10"/>
    </row>
    <row r="4" customFormat="false" ht="23.25" hidden="false" customHeight="true" outlineLevel="0" collapsed="false">
      <c r="A4" s="8" t="n">
        <v>3</v>
      </c>
      <c r="B4" s="8" t="n">
        <v>1</v>
      </c>
      <c r="C4" s="8" t="s">
        <v>67</v>
      </c>
      <c r="D4" s="8" t="s">
        <v>68</v>
      </c>
      <c r="E4" s="8" t="s">
        <v>69</v>
      </c>
      <c r="F4" s="8" t="s">
        <v>52</v>
      </c>
      <c r="G4" s="8" t="s">
        <v>70</v>
      </c>
      <c r="H4" s="8" t="s">
        <v>71</v>
      </c>
      <c r="I4" s="8" t="s">
        <v>55</v>
      </c>
      <c r="J4" s="8" t="s">
        <v>72</v>
      </c>
      <c r="K4" s="9" t="s">
        <v>73</v>
      </c>
      <c r="L4" s="10" t="s">
        <v>58</v>
      </c>
      <c r="M4" s="10"/>
      <c r="N4" s="10"/>
      <c r="O4" s="10"/>
    </row>
    <row r="5" customFormat="false" ht="23.25" hidden="false" customHeight="true" outlineLevel="0" collapsed="false">
      <c r="A5" s="8" t="n">
        <v>4</v>
      </c>
      <c r="B5" s="8" t="n">
        <v>2</v>
      </c>
      <c r="C5" s="8" t="s">
        <v>74</v>
      </c>
      <c r="D5" s="8" t="s">
        <v>75</v>
      </c>
      <c r="E5" s="8" t="s">
        <v>76</v>
      </c>
      <c r="F5" s="8" t="s">
        <v>52</v>
      </c>
      <c r="G5" s="8" t="s">
        <v>77</v>
      </c>
      <c r="H5" s="8" t="s">
        <v>78</v>
      </c>
      <c r="I5" s="8" t="s">
        <v>55</v>
      </c>
      <c r="J5" s="8" t="s">
        <v>79</v>
      </c>
      <c r="K5" s="9" t="s">
        <v>80</v>
      </c>
      <c r="L5" s="10" t="s">
        <v>58</v>
      </c>
      <c r="M5" s="10"/>
      <c r="N5" s="10"/>
      <c r="O5" s="10"/>
    </row>
    <row r="6" customFormat="false" ht="23.25" hidden="false" customHeight="true" outlineLevel="0" collapsed="false">
      <c r="A6" s="8" t="n">
        <v>5</v>
      </c>
      <c r="B6" s="8" t="n">
        <v>1</v>
      </c>
      <c r="C6" s="8" t="s">
        <v>81</v>
      </c>
      <c r="D6" s="8" t="s">
        <v>82</v>
      </c>
      <c r="E6" s="8" t="s">
        <v>83</v>
      </c>
      <c r="F6" s="8" t="s">
        <v>52</v>
      </c>
      <c r="G6" s="8" t="s">
        <v>53</v>
      </c>
      <c r="H6" s="8" t="s">
        <v>84</v>
      </c>
      <c r="I6" s="8" t="s">
        <v>55</v>
      </c>
      <c r="J6" s="8" t="s">
        <v>85</v>
      </c>
      <c r="K6" s="9" t="s">
        <v>86</v>
      </c>
      <c r="L6" s="10" t="s">
        <v>58</v>
      </c>
      <c r="M6" s="10"/>
      <c r="N6" s="10"/>
      <c r="O6" s="10"/>
    </row>
    <row r="7" customFormat="false" ht="34.5" hidden="false" customHeight="true" outlineLevel="0" collapsed="false">
      <c r="A7" s="8" t="n">
        <v>6</v>
      </c>
      <c r="B7" s="8" t="n">
        <v>1</v>
      </c>
      <c r="C7" s="8" t="s">
        <v>87</v>
      </c>
      <c r="D7" s="8" t="s">
        <v>88</v>
      </c>
      <c r="E7" s="8" t="s">
        <v>83</v>
      </c>
      <c r="F7" s="8" t="s">
        <v>52</v>
      </c>
      <c r="G7" s="8" t="s">
        <v>89</v>
      </c>
      <c r="H7" s="8" t="s">
        <v>90</v>
      </c>
      <c r="I7" s="8" t="s">
        <v>55</v>
      </c>
      <c r="J7" s="8" t="s">
        <v>91</v>
      </c>
      <c r="K7" s="9" t="s">
        <v>92</v>
      </c>
      <c r="L7" s="10" t="s">
        <v>58</v>
      </c>
      <c r="M7" s="10"/>
      <c r="N7" s="10"/>
      <c r="O7" s="10"/>
    </row>
    <row r="8" customFormat="false" ht="34.5" hidden="false" customHeight="true" outlineLevel="0" collapsed="false">
      <c r="A8" s="8" t="n">
        <v>7</v>
      </c>
      <c r="B8" s="8" t="n">
        <v>2</v>
      </c>
      <c r="C8" s="8" t="s">
        <v>93</v>
      </c>
      <c r="D8" s="8" t="s">
        <v>94</v>
      </c>
      <c r="E8" s="8" t="s">
        <v>95</v>
      </c>
      <c r="F8" s="8" t="s">
        <v>52</v>
      </c>
      <c r="G8" s="8" t="s">
        <v>53</v>
      </c>
      <c r="H8" s="8" t="s">
        <v>96</v>
      </c>
      <c r="I8" s="8" t="s">
        <v>55</v>
      </c>
      <c r="J8" s="8" t="s">
        <v>97</v>
      </c>
      <c r="K8" s="9" t="s">
        <v>98</v>
      </c>
      <c r="L8" s="10" t="s">
        <v>58</v>
      </c>
      <c r="M8" s="10"/>
      <c r="N8" s="10"/>
      <c r="O8" s="10"/>
    </row>
    <row r="9" customFormat="false" ht="23.25" hidden="false" customHeight="true" outlineLevel="0" collapsed="false">
      <c r="A9" s="8" t="n">
        <v>8</v>
      </c>
      <c r="B9" s="8" t="n">
        <v>1</v>
      </c>
      <c r="C9" s="8" t="s">
        <v>99</v>
      </c>
      <c r="D9" s="8" t="s">
        <v>100</v>
      </c>
      <c r="E9" s="8" t="s">
        <v>83</v>
      </c>
      <c r="F9" s="8" t="s">
        <v>52</v>
      </c>
      <c r="G9" s="8" t="s">
        <v>53</v>
      </c>
      <c r="H9" s="8" t="s">
        <v>101</v>
      </c>
      <c r="I9" s="8" t="s">
        <v>55</v>
      </c>
      <c r="J9" s="8" t="s">
        <v>102</v>
      </c>
      <c r="K9" s="9" t="s">
        <v>103</v>
      </c>
      <c r="L9" s="10" t="s">
        <v>58</v>
      </c>
      <c r="M9" s="10"/>
      <c r="N9" s="10"/>
      <c r="O9" s="10"/>
    </row>
    <row r="10" customFormat="false" ht="23.25" hidden="false" customHeight="true" outlineLevel="0" collapsed="false">
      <c r="A10" s="8" t="n">
        <v>9</v>
      </c>
      <c r="B10" s="8" t="n">
        <v>2</v>
      </c>
      <c r="C10" s="8" t="s">
        <v>104</v>
      </c>
      <c r="D10" s="8" t="s">
        <v>105</v>
      </c>
      <c r="E10" s="8" t="s">
        <v>106</v>
      </c>
      <c r="F10" s="8" t="s">
        <v>52</v>
      </c>
      <c r="G10" s="8" t="s">
        <v>107</v>
      </c>
      <c r="H10" s="8" t="s">
        <v>108</v>
      </c>
      <c r="I10" s="8" t="s">
        <v>55</v>
      </c>
      <c r="J10" s="8" t="s">
        <v>109</v>
      </c>
      <c r="K10" s="9" t="s">
        <v>110</v>
      </c>
      <c r="L10" s="10" t="s">
        <v>58</v>
      </c>
      <c r="M10" s="10"/>
      <c r="N10" s="10"/>
      <c r="O10" s="10"/>
    </row>
    <row r="11" customFormat="false" ht="23.25" hidden="false" customHeight="true" outlineLevel="0" collapsed="false">
      <c r="A11" s="8" t="n">
        <v>10</v>
      </c>
      <c r="B11" s="8" t="n">
        <v>1</v>
      </c>
      <c r="C11" s="8" t="s">
        <v>111</v>
      </c>
      <c r="D11" s="8" t="s">
        <v>112</v>
      </c>
      <c r="E11" s="8" t="s">
        <v>113</v>
      </c>
      <c r="F11" s="8" t="s">
        <v>52</v>
      </c>
      <c r="G11" s="8" t="s">
        <v>114</v>
      </c>
      <c r="H11" s="8" t="s">
        <v>115</v>
      </c>
      <c r="I11" s="8" t="s">
        <v>55</v>
      </c>
      <c r="J11" s="8" t="s">
        <v>116</v>
      </c>
      <c r="K11" s="9" t="s">
        <v>117</v>
      </c>
      <c r="L11" s="10" t="s">
        <v>58</v>
      </c>
      <c r="M11" s="10"/>
      <c r="N11" s="10"/>
      <c r="O11" s="10"/>
    </row>
    <row r="12" customFormat="false" ht="23.25" hidden="false" customHeight="true" outlineLevel="0" collapsed="false">
      <c r="A12" s="8" t="n">
        <v>11</v>
      </c>
      <c r="B12" s="8" t="n">
        <v>2</v>
      </c>
      <c r="C12" s="8" t="s">
        <v>118</v>
      </c>
      <c r="D12" s="8" t="s">
        <v>119</v>
      </c>
      <c r="E12" s="8" t="s">
        <v>83</v>
      </c>
      <c r="F12" s="8" t="s">
        <v>52</v>
      </c>
      <c r="G12" s="8" t="s">
        <v>120</v>
      </c>
      <c r="H12" s="8" t="s">
        <v>121</v>
      </c>
      <c r="I12" s="8" t="s">
        <v>55</v>
      </c>
      <c r="J12" s="8" t="s">
        <v>122</v>
      </c>
      <c r="K12" s="9" t="s">
        <v>123</v>
      </c>
      <c r="L12" s="10" t="s">
        <v>58</v>
      </c>
      <c r="M12" s="10"/>
      <c r="N12" s="10"/>
      <c r="O12" s="10"/>
    </row>
    <row r="13" customFormat="false" ht="34.5" hidden="false" customHeight="true" outlineLevel="0" collapsed="false">
      <c r="A13" s="8" t="n">
        <v>12</v>
      </c>
      <c r="B13" s="8" t="n">
        <v>2</v>
      </c>
      <c r="C13" s="8" t="s">
        <v>124</v>
      </c>
      <c r="D13" s="8" t="s">
        <v>125</v>
      </c>
      <c r="E13" s="8" t="s">
        <v>106</v>
      </c>
      <c r="F13" s="8" t="s">
        <v>52</v>
      </c>
      <c r="G13" s="8" t="s">
        <v>126</v>
      </c>
      <c r="H13" s="8" t="s">
        <v>127</v>
      </c>
      <c r="I13" s="8" t="s">
        <v>55</v>
      </c>
      <c r="J13" s="8" t="s">
        <v>128</v>
      </c>
      <c r="K13" s="9" t="s">
        <v>129</v>
      </c>
      <c r="L13" s="10" t="s">
        <v>58</v>
      </c>
      <c r="M13" s="10"/>
      <c r="N13" s="10"/>
      <c r="O13" s="10"/>
    </row>
    <row r="14" customFormat="false" ht="23.25" hidden="false" customHeight="true" outlineLevel="0" collapsed="false">
      <c r="A14" s="8" t="n">
        <v>13</v>
      </c>
      <c r="B14" s="8" t="n">
        <v>2</v>
      </c>
      <c r="C14" s="8" t="s">
        <v>130</v>
      </c>
      <c r="D14" s="8" t="s">
        <v>131</v>
      </c>
      <c r="E14" s="8" t="s">
        <v>132</v>
      </c>
      <c r="F14" s="8" t="s">
        <v>52</v>
      </c>
      <c r="G14" s="8" t="s">
        <v>120</v>
      </c>
      <c r="H14" s="8" t="s">
        <v>133</v>
      </c>
      <c r="I14" s="8" t="s">
        <v>55</v>
      </c>
      <c r="J14" s="8" t="s">
        <v>134</v>
      </c>
      <c r="K14" s="9" t="s">
        <v>135</v>
      </c>
      <c r="L14" s="10" t="s">
        <v>58</v>
      </c>
      <c r="M14" s="10"/>
      <c r="N14" s="10"/>
      <c r="O14" s="10"/>
    </row>
    <row r="15" customFormat="false" ht="23.25" hidden="false" customHeight="true" outlineLevel="0" collapsed="false">
      <c r="A15" s="8" t="n">
        <v>14</v>
      </c>
      <c r="B15" s="8" t="n">
        <v>2</v>
      </c>
      <c r="C15" s="8" t="s">
        <v>136</v>
      </c>
      <c r="D15" s="8" t="s">
        <v>137</v>
      </c>
      <c r="E15" s="8" t="s">
        <v>95</v>
      </c>
      <c r="F15" s="8" t="s">
        <v>52</v>
      </c>
      <c r="G15" s="8" t="s">
        <v>120</v>
      </c>
      <c r="H15" s="8" t="s">
        <v>138</v>
      </c>
      <c r="I15" s="8" t="s">
        <v>55</v>
      </c>
      <c r="J15" s="8" t="s">
        <v>139</v>
      </c>
      <c r="K15" s="9" t="s">
        <v>140</v>
      </c>
      <c r="L15" s="10" t="s">
        <v>58</v>
      </c>
      <c r="M15" s="10"/>
      <c r="N15" s="10"/>
      <c r="O15" s="10"/>
    </row>
    <row r="16" customFormat="false" ht="34.5" hidden="false" customHeight="true" outlineLevel="0" collapsed="false">
      <c r="A16" s="8" t="n">
        <v>15</v>
      </c>
      <c r="B16" s="8" t="n">
        <v>2</v>
      </c>
      <c r="C16" s="8" t="s">
        <v>141</v>
      </c>
      <c r="D16" s="8" t="s">
        <v>142</v>
      </c>
      <c r="E16" s="8" t="s">
        <v>143</v>
      </c>
      <c r="F16" s="8" t="s">
        <v>52</v>
      </c>
      <c r="G16" s="8" t="s">
        <v>126</v>
      </c>
      <c r="H16" s="8" t="s">
        <v>144</v>
      </c>
      <c r="I16" s="8" t="s">
        <v>55</v>
      </c>
      <c r="J16" s="8" t="s">
        <v>145</v>
      </c>
      <c r="K16" s="9" t="s">
        <v>146</v>
      </c>
      <c r="L16" s="10" t="s">
        <v>58</v>
      </c>
      <c r="M16" s="10"/>
      <c r="N16" s="10"/>
      <c r="O16" s="10"/>
    </row>
    <row r="17" customFormat="false" ht="23.25" hidden="false" customHeight="true" outlineLevel="0" collapsed="false">
      <c r="A17" s="8" t="n">
        <v>16</v>
      </c>
      <c r="B17" s="8" t="n">
        <v>2</v>
      </c>
      <c r="C17" s="8" t="s">
        <v>147</v>
      </c>
      <c r="D17" s="8" t="s">
        <v>148</v>
      </c>
      <c r="E17" s="8" t="s">
        <v>61</v>
      </c>
      <c r="F17" s="8" t="s">
        <v>52</v>
      </c>
      <c r="G17" s="8" t="s">
        <v>149</v>
      </c>
      <c r="H17" s="8" t="s">
        <v>150</v>
      </c>
      <c r="I17" s="8" t="s">
        <v>55</v>
      </c>
      <c r="J17" s="8" t="s">
        <v>151</v>
      </c>
      <c r="K17" s="9" t="s">
        <v>152</v>
      </c>
      <c r="L17" s="10" t="s">
        <v>58</v>
      </c>
      <c r="M17" s="10"/>
      <c r="N17" s="10"/>
      <c r="O17" s="10"/>
    </row>
    <row r="18" customFormat="false" ht="34.5" hidden="false" customHeight="true" outlineLevel="0" collapsed="false">
      <c r="A18" s="8" t="n">
        <v>17</v>
      </c>
      <c r="B18" s="8" t="n">
        <v>2</v>
      </c>
      <c r="C18" s="8" t="s">
        <v>153</v>
      </c>
      <c r="D18" s="8" t="s">
        <v>154</v>
      </c>
      <c r="E18" s="8" t="s">
        <v>76</v>
      </c>
      <c r="F18" s="8" t="s">
        <v>52</v>
      </c>
      <c r="G18" s="8" t="s">
        <v>63</v>
      </c>
      <c r="H18" s="8" t="s">
        <v>155</v>
      </c>
      <c r="I18" s="8" t="s">
        <v>55</v>
      </c>
      <c r="J18" s="8" t="s">
        <v>156</v>
      </c>
      <c r="K18" s="9" t="s">
        <v>157</v>
      </c>
      <c r="L18" s="10" t="s">
        <v>58</v>
      </c>
      <c r="M18" s="10"/>
      <c r="N18" s="10"/>
      <c r="O18" s="10"/>
    </row>
    <row r="19" customFormat="false" ht="23.25" hidden="false" customHeight="true" outlineLevel="0" collapsed="false">
      <c r="A19" s="8" t="n">
        <v>18</v>
      </c>
      <c r="B19" s="8" t="n">
        <v>1</v>
      </c>
      <c r="C19" s="8" t="s">
        <v>158</v>
      </c>
      <c r="D19" s="8" t="s">
        <v>159</v>
      </c>
      <c r="E19" s="8" t="s">
        <v>160</v>
      </c>
      <c r="F19" s="8" t="s">
        <v>62</v>
      </c>
      <c r="G19" s="8" t="s">
        <v>53</v>
      </c>
      <c r="H19" s="8" t="s">
        <v>161</v>
      </c>
      <c r="I19" s="8" t="s">
        <v>55</v>
      </c>
      <c r="J19" s="8" t="s">
        <v>162</v>
      </c>
      <c r="K19" s="9" t="s">
        <v>163</v>
      </c>
      <c r="L19" s="10" t="s">
        <v>58</v>
      </c>
      <c r="M19" s="10"/>
      <c r="N19" s="10"/>
      <c r="O19" s="10"/>
    </row>
    <row r="20" customFormat="false" ht="23.25" hidden="false" customHeight="true" outlineLevel="0" collapsed="false">
      <c r="A20" s="8" t="n">
        <v>19</v>
      </c>
      <c r="B20" s="8" t="n">
        <v>2</v>
      </c>
      <c r="C20" s="8" t="s">
        <v>164</v>
      </c>
      <c r="D20" s="8" t="s">
        <v>165</v>
      </c>
      <c r="E20" s="8" t="s">
        <v>113</v>
      </c>
      <c r="F20" s="8" t="s">
        <v>52</v>
      </c>
      <c r="G20" s="8" t="s">
        <v>53</v>
      </c>
      <c r="H20" s="8" t="s">
        <v>166</v>
      </c>
      <c r="I20" s="8" t="s">
        <v>55</v>
      </c>
      <c r="J20" s="8" t="s">
        <v>167</v>
      </c>
      <c r="K20" s="9" t="s">
        <v>168</v>
      </c>
      <c r="L20" s="10" t="s">
        <v>58</v>
      </c>
      <c r="M20" s="10"/>
      <c r="N20" s="10"/>
      <c r="O20" s="10"/>
    </row>
    <row r="21" customFormat="false" ht="23.25" hidden="false" customHeight="true" outlineLevel="0" collapsed="false">
      <c r="A21" s="8" t="n">
        <v>20</v>
      </c>
      <c r="B21" s="8" t="n">
        <v>2</v>
      </c>
      <c r="C21" s="8" t="s">
        <v>169</v>
      </c>
      <c r="D21" s="8" t="s">
        <v>170</v>
      </c>
      <c r="E21" s="8" t="s">
        <v>83</v>
      </c>
      <c r="F21" s="8" t="s">
        <v>52</v>
      </c>
      <c r="G21" s="8" t="s">
        <v>114</v>
      </c>
      <c r="H21" s="8" t="s">
        <v>171</v>
      </c>
      <c r="I21" s="8" t="s">
        <v>55</v>
      </c>
      <c r="J21" s="8" t="s">
        <v>172</v>
      </c>
      <c r="K21" s="9" t="s">
        <v>173</v>
      </c>
      <c r="L21" s="10" t="s">
        <v>58</v>
      </c>
      <c r="M21" s="10"/>
      <c r="N21" s="10"/>
      <c r="O21" s="10"/>
    </row>
    <row r="22" customFormat="false" ht="23.25" hidden="false" customHeight="true" outlineLevel="0" collapsed="false">
      <c r="A22" s="8" t="n">
        <v>21</v>
      </c>
      <c r="B22" s="8" t="n">
        <v>1</v>
      </c>
      <c r="C22" s="8" t="s">
        <v>174</v>
      </c>
      <c r="D22" s="8" t="s">
        <v>175</v>
      </c>
      <c r="E22" s="8" t="s">
        <v>132</v>
      </c>
      <c r="F22" s="8" t="s">
        <v>52</v>
      </c>
      <c r="G22" s="8" t="s">
        <v>176</v>
      </c>
      <c r="H22" s="8" t="s">
        <v>177</v>
      </c>
      <c r="I22" s="8" t="s">
        <v>55</v>
      </c>
      <c r="J22" s="8" t="s">
        <v>178</v>
      </c>
      <c r="K22" s="9" t="s">
        <v>179</v>
      </c>
      <c r="L22" s="10" t="s">
        <v>58</v>
      </c>
      <c r="M22" s="10"/>
      <c r="N22" s="10"/>
      <c r="O22" s="10"/>
    </row>
    <row r="23" customFormat="false" ht="23.25" hidden="false" customHeight="true" outlineLevel="0" collapsed="false">
      <c r="A23" s="8" t="n">
        <v>22</v>
      </c>
      <c r="B23" s="8" t="n">
        <v>1</v>
      </c>
      <c r="C23" s="8" t="s">
        <v>180</v>
      </c>
      <c r="D23" s="8" t="s">
        <v>181</v>
      </c>
      <c r="E23" s="8" t="s">
        <v>182</v>
      </c>
      <c r="F23" s="8" t="s">
        <v>52</v>
      </c>
      <c r="G23" s="8" t="s">
        <v>120</v>
      </c>
      <c r="H23" s="8" t="s">
        <v>183</v>
      </c>
      <c r="I23" s="8" t="s">
        <v>55</v>
      </c>
      <c r="J23" s="8" t="s">
        <v>184</v>
      </c>
      <c r="K23" s="9" t="s">
        <v>185</v>
      </c>
      <c r="L23" s="10" t="s">
        <v>58</v>
      </c>
      <c r="M23" s="10"/>
      <c r="N23" s="10"/>
      <c r="O23" s="10"/>
    </row>
    <row r="24" customFormat="false" ht="23.25" hidden="false" customHeight="true" outlineLevel="0" collapsed="false">
      <c r="A24" s="8" t="n">
        <v>23</v>
      </c>
      <c r="B24" s="8" t="n">
        <v>1</v>
      </c>
      <c r="C24" s="8" t="s">
        <v>186</v>
      </c>
      <c r="D24" s="8" t="s">
        <v>187</v>
      </c>
      <c r="E24" s="8" t="s">
        <v>61</v>
      </c>
      <c r="F24" s="8" t="s">
        <v>52</v>
      </c>
      <c r="G24" s="8" t="s">
        <v>188</v>
      </c>
      <c r="H24" s="8" t="s">
        <v>189</v>
      </c>
      <c r="I24" s="8" t="s">
        <v>55</v>
      </c>
      <c r="J24" s="8" t="s">
        <v>190</v>
      </c>
      <c r="K24" s="9" t="s">
        <v>191</v>
      </c>
      <c r="L24" s="10" t="s">
        <v>58</v>
      </c>
      <c r="M24" s="10"/>
      <c r="N24" s="10"/>
      <c r="O24" s="10"/>
    </row>
    <row r="25" customFormat="false" ht="23.25" hidden="false" customHeight="true" outlineLevel="0" collapsed="false">
      <c r="A25" s="8" t="n">
        <v>24</v>
      </c>
      <c r="B25" s="8" t="n">
        <v>2</v>
      </c>
      <c r="C25" s="8" t="s">
        <v>192</v>
      </c>
      <c r="D25" s="8" t="s">
        <v>193</v>
      </c>
      <c r="E25" s="8" t="s">
        <v>106</v>
      </c>
      <c r="F25" s="8" t="s">
        <v>62</v>
      </c>
      <c r="G25" s="8" t="s">
        <v>63</v>
      </c>
      <c r="H25" s="8" t="s">
        <v>194</v>
      </c>
      <c r="I25" s="8" t="s">
        <v>55</v>
      </c>
      <c r="J25" s="8" t="s">
        <v>195</v>
      </c>
      <c r="K25" s="9" t="s">
        <v>196</v>
      </c>
      <c r="L25" s="10" t="s">
        <v>58</v>
      </c>
      <c r="M25" s="10"/>
      <c r="N25" s="10"/>
      <c r="O25" s="10"/>
    </row>
    <row r="26" customFormat="false" ht="34.5" hidden="false" customHeight="true" outlineLevel="0" collapsed="false">
      <c r="A26" s="8" t="n">
        <v>25</v>
      </c>
      <c r="B26" s="8" t="n">
        <v>1</v>
      </c>
      <c r="C26" s="8" t="s">
        <v>197</v>
      </c>
      <c r="D26" s="8" t="s">
        <v>198</v>
      </c>
      <c r="E26" s="8" t="s">
        <v>61</v>
      </c>
      <c r="F26" s="8" t="s">
        <v>52</v>
      </c>
      <c r="G26" s="8" t="s">
        <v>89</v>
      </c>
      <c r="H26" s="8" t="s">
        <v>199</v>
      </c>
      <c r="I26" s="8" t="s">
        <v>55</v>
      </c>
      <c r="J26" s="8" t="s">
        <v>200</v>
      </c>
      <c r="K26" s="9" t="s">
        <v>201</v>
      </c>
      <c r="L26" s="10" t="s">
        <v>58</v>
      </c>
      <c r="M26" s="10"/>
      <c r="N26" s="10"/>
      <c r="O26" s="10"/>
    </row>
    <row r="27" customFormat="false" ht="34.5" hidden="false" customHeight="true" outlineLevel="0" collapsed="false">
      <c r="A27" s="8" t="n">
        <v>26</v>
      </c>
      <c r="B27" s="8" t="n">
        <v>2</v>
      </c>
      <c r="C27" s="8" t="s">
        <v>202</v>
      </c>
      <c r="D27" s="8" t="s">
        <v>203</v>
      </c>
      <c r="E27" s="8" t="s">
        <v>83</v>
      </c>
      <c r="F27" s="8" t="s">
        <v>52</v>
      </c>
      <c r="G27" s="8" t="s">
        <v>204</v>
      </c>
      <c r="H27" s="8" t="s">
        <v>205</v>
      </c>
      <c r="I27" s="8" t="s">
        <v>55</v>
      </c>
      <c r="J27" s="8" t="s">
        <v>206</v>
      </c>
      <c r="K27" s="9" t="s">
        <v>207</v>
      </c>
      <c r="L27" s="10" t="s">
        <v>58</v>
      </c>
      <c r="M27" s="10"/>
      <c r="N27" s="10"/>
      <c r="O27" s="10"/>
    </row>
    <row r="28" customFormat="false" ht="23.25" hidden="false" customHeight="true" outlineLevel="0" collapsed="false">
      <c r="A28" s="8" t="n">
        <v>27</v>
      </c>
      <c r="B28" s="8" t="n">
        <v>1</v>
      </c>
      <c r="C28" s="8" t="s">
        <v>208</v>
      </c>
      <c r="D28" s="8" t="s">
        <v>209</v>
      </c>
      <c r="E28" s="8" t="s">
        <v>182</v>
      </c>
      <c r="F28" s="8" t="s">
        <v>52</v>
      </c>
      <c r="G28" s="8" t="s">
        <v>63</v>
      </c>
      <c r="H28" s="8" t="s">
        <v>210</v>
      </c>
      <c r="I28" s="8" t="s">
        <v>55</v>
      </c>
      <c r="J28" s="8" t="s">
        <v>211</v>
      </c>
      <c r="K28" s="9" t="s">
        <v>212</v>
      </c>
      <c r="L28" s="10" t="s">
        <v>58</v>
      </c>
      <c r="M28" s="10"/>
      <c r="N28" s="10"/>
      <c r="O28" s="10"/>
    </row>
    <row r="29" customFormat="false" ht="23.25" hidden="false" customHeight="true" outlineLevel="0" collapsed="false">
      <c r="A29" s="8" t="n">
        <v>28</v>
      </c>
      <c r="B29" s="8" t="n">
        <v>1</v>
      </c>
      <c r="C29" s="8" t="s">
        <v>213</v>
      </c>
      <c r="D29" s="8" t="s">
        <v>214</v>
      </c>
      <c r="E29" s="8" t="s">
        <v>95</v>
      </c>
      <c r="F29" s="8" t="s">
        <v>52</v>
      </c>
      <c r="G29" s="8" t="s">
        <v>215</v>
      </c>
      <c r="H29" s="8" t="s">
        <v>216</v>
      </c>
      <c r="I29" s="8" t="s">
        <v>55</v>
      </c>
      <c r="J29" s="8" t="s">
        <v>217</v>
      </c>
      <c r="K29" s="9" t="s">
        <v>218</v>
      </c>
      <c r="L29" s="10" t="s">
        <v>58</v>
      </c>
      <c r="M29" s="10"/>
      <c r="N29" s="10"/>
      <c r="O29" s="10"/>
    </row>
    <row r="30" customFormat="false" ht="23.25" hidden="false" customHeight="true" outlineLevel="0" collapsed="false">
      <c r="A30" s="8" t="n">
        <v>29</v>
      </c>
      <c r="B30" s="8" t="n">
        <v>1</v>
      </c>
      <c r="C30" s="8" t="s">
        <v>219</v>
      </c>
      <c r="D30" s="8" t="s">
        <v>220</v>
      </c>
      <c r="E30" s="8" t="s">
        <v>106</v>
      </c>
      <c r="F30" s="8" t="s">
        <v>52</v>
      </c>
      <c r="G30" s="8" t="s">
        <v>215</v>
      </c>
      <c r="H30" s="8" t="s">
        <v>221</v>
      </c>
      <c r="I30" s="8" t="s">
        <v>55</v>
      </c>
      <c r="J30" s="8" t="s">
        <v>222</v>
      </c>
      <c r="K30" s="9" t="s">
        <v>223</v>
      </c>
      <c r="L30" s="10" t="s">
        <v>58</v>
      </c>
      <c r="M30" s="10"/>
      <c r="N30" s="10"/>
      <c r="O30" s="10"/>
    </row>
    <row r="31" customFormat="false" ht="23.25" hidden="false" customHeight="true" outlineLevel="0" collapsed="false">
      <c r="A31" s="8" t="n">
        <v>30</v>
      </c>
      <c r="B31" s="8" t="n">
        <v>1</v>
      </c>
      <c r="C31" s="8" t="s">
        <v>224</v>
      </c>
      <c r="D31" s="8" t="s">
        <v>225</v>
      </c>
      <c r="E31" s="8" t="s">
        <v>61</v>
      </c>
      <c r="F31" s="8" t="s">
        <v>52</v>
      </c>
      <c r="G31" s="8" t="s">
        <v>120</v>
      </c>
      <c r="H31" s="8" t="s">
        <v>226</v>
      </c>
      <c r="I31" s="8" t="s">
        <v>55</v>
      </c>
      <c r="J31" s="8" t="s">
        <v>227</v>
      </c>
      <c r="K31" s="9" t="s">
        <v>228</v>
      </c>
      <c r="L31" s="10" t="s">
        <v>58</v>
      </c>
      <c r="M31" s="10"/>
      <c r="N31" s="10"/>
      <c r="O31" s="10"/>
    </row>
    <row r="32" customFormat="false" ht="23.25" hidden="false" customHeight="true" outlineLevel="0" collapsed="false">
      <c r="A32" s="8" t="n">
        <v>31</v>
      </c>
      <c r="B32" s="8" t="n">
        <v>2</v>
      </c>
      <c r="C32" s="8" t="s">
        <v>229</v>
      </c>
      <c r="D32" s="8" t="s">
        <v>230</v>
      </c>
      <c r="E32" s="8" t="s">
        <v>113</v>
      </c>
      <c r="F32" s="8" t="s">
        <v>52</v>
      </c>
      <c r="G32" s="8" t="s">
        <v>126</v>
      </c>
      <c r="H32" s="8" t="s">
        <v>231</v>
      </c>
      <c r="I32" s="8" t="s">
        <v>55</v>
      </c>
      <c r="J32" s="8" t="s">
        <v>232</v>
      </c>
      <c r="K32" s="9" t="s">
        <v>233</v>
      </c>
      <c r="L32" s="10" t="s">
        <v>58</v>
      </c>
      <c r="M32" s="10"/>
      <c r="N32" s="10"/>
      <c r="O32" s="10"/>
    </row>
    <row r="33" customFormat="false" ht="34.5" hidden="false" customHeight="true" outlineLevel="0" collapsed="false">
      <c r="A33" s="8" t="n">
        <v>32</v>
      </c>
      <c r="B33" s="8" t="n">
        <v>2</v>
      </c>
      <c r="C33" s="8" t="s">
        <v>234</v>
      </c>
      <c r="D33" s="8" t="s">
        <v>235</v>
      </c>
      <c r="E33" s="8" t="s">
        <v>61</v>
      </c>
      <c r="F33" s="8" t="s">
        <v>52</v>
      </c>
      <c r="G33" s="8" t="s">
        <v>120</v>
      </c>
      <c r="H33" s="8" t="s">
        <v>236</v>
      </c>
      <c r="I33" s="8" t="s">
        <v>55</v>
      </c>
      <c r="J33" s="8" t="s">
        <v>237</v>
      </c>
      <c r="K33" s="9" t="s">
        <v>238</v>
      </c>
      <c r="L33" s="10" t="s">
        <v>58</v>
      </c>
      <c r="M33" s="10"/>
      <c r="N33" s="10"/>
      <c r="O33" s="10"/>
    </row>
    <row r="34" customFormat="false" ht="23.25" hidden="false" customHeight="true" outlineLevel="0" collapsed="false">
      <c r="A34" s="8" t="n">
        <v>33</v>
      </c>
      <c r="B34" s="8" t="n">
        <v>1</v>
      </c>
      <c r="C34" s="8" t="s">
        <v>239</v>
      </c>
      <c r="D34" s="8" t="s">
        <v>240</v>
      </c>
      <c r="E34" s="8" t="s">
        <v>132</v>
      </c>
      <c r="F34" s="8" t="s">
        <v>52</v>
      </c>
      <c r="G34" s="8" t="s">
        <v>188</v>
      </c>
      <c r="H34" s="8" t="s">
        <v>241</v>
      </c>
      <c r="I34" s="8" t="s">
        <v>55</v>
      </c>
      <c r="J34" s="8" t="s">
        <v>242</v>
      </c>
      <c r="K34" s="9" t="s">
        <v>243</v>
      </c>
      <c r="L34" s="10" t="s">
        <v>58</v>
      </c>
      <c r="M34" s="10"/>
      <c r="N34" s="10"/>
      <c r="O34" s="10"/>
    </row>
    <row r="35" customFormat="false" ht="23.25" hidden="false" customHeight="true" outlineLevel="0" collapsed="false">
      <c r="A35" s="8" t="n">
        <v>34</v>
      </c>
      <c r="B35" s="8" t="n">
        <v>2</v>
      </c>
      <c r="C35" s="8" t="s">
        <v>244</v>
      </c>
      <c r="D35" s="8" t="s">
        <v>245</v>
      </c>
      <c r="E35" s="8" t="s">
        <v>246</v>
      </c>
      <c r="F35" s="8" t="s">
        <v>52</v>
      </c>
      <c r="G35" s="8" t="s">
        <v>188</v>
      </c>
      <c r="H35" s="8" t="s">
        <v>247</v>
      </c>
      <c r="I35" s="8" t="s">
        <v>55</v>
      </c>
      <c r="J35" s="8" t="s">
        <v>248</v>
      </c>
      <c r="K35" s="9" t="s">
        <v>249</v>
      </c>
      <c r="L35" s="10" t="s">
        <v>58</v>
      </c>
      <c r="M35" s="10"/>
      <c r="N35" s="10"/>
      <c r="O35" s="10"/>
    </row>
    <row r="36" customFormat="false" ht="23.25" hidden="false" customHeight="true" outlineLevel="0" collapsed="false">
      <c r="A36" s="8" t="n">
        <v>35</v>
      </c>
      <c r="B36" s="8" t="n">
        <v>1</v>
      </c>
      <c r="C36" s="8" t="s">
        <v>250</v>
      </c>
      <c r="D36" s="8" t="s">
        <v>251</v>
      </c>
      <c r="E36" s="8" t="s">
        <v>61</v>
      </c>
      <c r="F36" s="8" t="s">
        <v>52</v>
      </c>
      <c r="G36" s="8" t="s">
        <v>188</v>
      </c>
      <c r="H36" s="8" t="s">
        <v>252</v>
      </c>
      <c r="I36" s="8" t="s">
        <v>55</v>
      </c>
      <c r="J36" s="8" t="s">
        <v>253</v>
      </c>
      <c r="K36" s="9" t="s">
        <v>254</v>
      </c>
      <c r="L36" s="10" t="s">
        <v>58</v>
      </c>
      <c r="M36" s="10"/>
      <c r="N36" s="10"/>
      <c r="O36" s="10"/>
    </row>
    <row r="37" customFormat="false" ht="23.25" hidden="false" customHeight="true" outlineLevel="0" collapsed="false">
      <c r="A37" s="8" t="n">
        <v>36</v>
      </c>
      <c r="B37" s="8" t="n">
        <v>2</v>
      </c>
      <c r="C37" s="8" t="s">
        <v>255</v>
      </c>
      <c r="D37" s="8" t="s">
        <v>256</v>
      </c>
      <c r="E37" s="8" t="s">
        <v>106</v>
      </c>
      <c r="F37" s="8" t="s">
        <v>52</v>
      </c>
      <c r="G37" s="8" t="s">
        <v>120</v>
      </c>
      <c r="H37" s="8" t="s">
        <v>257</v>
      </c>
      <c r="I37" s="8" t="s">
        <v>55</v>
      </c>
      <c r="J37" s="8" t="s">
        <v>258</v>
      </c>
      <c r="K37" s="9" t="s">
        <v>259</v>
      </c>
      <c r="L37" s="10" t="s">
        <v>58</v>
      </c>
      <c r="M37" s="10"/>
      <c r="N37" s="10"/>
      <c r="O37" s="10"/>
    </row>
    <row r="38" customFormat="false" ht="23.25" hidden="false" customHeight="true" outlineLevel="0" collapsed="false">
      <c r="A38" s="8" t="n">
        <v>37</v>
      </c>
      <c r="B38" s="8" t="n">
        <v>1</v>
      </c>
      <c r="C38" s="8" t="s">
        <v>260</v>
      </c>
      <c r="D38" s="8" t="s">
        <v>261</v>
      </c>
      <c r="E38" s="8" t="s">
        <v>69</v>
      </c>
      <c r="F38" s="8" t="s">
        <v>62</v>
      </c>
      <c r="G38" s="8" t="s">
        <v>262</v>
      </c>
      <c r="H38" s="8" t="s">
        <v>263</v>
      </c>
      <c r="I38" s="8" t="s">
        <v>55</v>
      </c>
      <c r="J38" s="8" t="s">
        <v>264</v>
      </c>
      <c r="K38" s="9" t="s">
        <v>265</v>
      </c>
      <c r="L38" s="10" t="s">
        <v>58</v>
      </c>
      <c r="M38" s="10"/>
      <c r="N38" s="10"/>
      <c r="O38" s="10"/>
    </row>
    <row r="39" customFormat="false" ht="23.25" hidden="false" customHeight="true" outlineLevel="0" collapsed="false">
      <c r="A39" s="8" t="n">
        <v>38</v>
      </c>
      <c r="B39" s="8" t="n">
        <v>2</v>
      </c>
      <c r="C39" s="8" t="s">
        <v>266</v>
      </c>
      <c r="D39" s="8" t="s">
        <v>267</v>
      </c>
      <c r="E39" s="8" t="s">
        <v>113</v>
      </c>
      <c r="F39" s="8" t="s">
        <v>62</v>
      </c>
      <c r="G39" s="8" t="s">
        <v>107</v>
      </c>
      <c r="H39" s="8" t="s">
        <v>268</v>
      </c>
      <c r="I39" s="8" t="s">
        <v>55</v>
      </c>
      <c r="J39" s="8" t="s">
        <v>269</v>
      </c>
      <c r="K39" s="9" t="s">
        <v>270</v>
      </c>
      <c r="L39" s="10" t="s">
        <v>58</v>
      </c>
      <c r="M39" s="10"/>
      <c r="N39" s="10"/>
      <c r="O39" s="10"/>
    </row>
    <row r="40" customFormat="false" ht="23.25" hidden="false" customHeight="true" outlineLevel="0" collapsed="false">
      <c r="A40" s="8" t="n">
        <v>39</v>
      </c>
      <c r="B40" s="8" t="n">
        <v>2</v>
      </c>
      <c r="C40" s="8" t="s">
        <v>271</v>
      </c>
      <c r="D40" s="8" t="s">
        <v>272</v>
      </c>
      <c r="E40" s="8" t="s">
        <v>273</v>
      </c>
      <c r="F40" s="8" t="s">
        <v>52</v>
      </c>
      <c r="G40" s="8" t="s">
        <v>215</v>
      </c>
      <c r="H40" s="8" t="s">
        <v>274</v>
      </c>
      <c r="I40" s="8" t="s">
        <v>55</v>
      </c>
      <c r="J40" s="8" t="s">
        <v>275</v>
      </c>
      <c r="K40" s="9" t="s">
        <v>276</v>
      </c>
      <c r="L40" s="10" t="s">
        <v>58</v>
      </c>
      <c r="M40" s="10"/>
      <c r="N40" s="10"/>
      <c r="O40" s="10"/>
    </row>
    <row r="41" customFormat="false" ht="23.25" hidden="false" customHeight="true" outlineLevel="0" collapsed="false">
      <c r="A41" s="8" t="n">
        <v>40</v>
      </c>
      <c r="B41" s="8" t="n">
        <v>2</v>
      </c>
      <c r="C41" s="8" t="s">
        <v>277</v>
      </c>
      <c r="D41" s="8" t="s">
        <v>278</v>
      </c>
      <c r="E41" s="8" t="s">
        <v>83</v>
      </c>
      <c r="F41" s="8" t="s">
        <v>52</v>
      </c>
      <c r="G41" s="8" t="s">
        <v>120</v>
      </c>
      <c r="H41" s="8" t="s">
        <v>279</v>
      </c>
      <c r="I41" s="8" t="s">
        <v>55</v>
      </c>
      <c r="J41" s="8" t="s">
        <v>280</v>
      </c>
      <c r="K41" s="9" t="s">
        <v>281</v>
      </c>
      <c r="L41" s="10" t="s">
        <v>58</v>
      </c>
      <c r="M41" s="10"/>
      <c r="N41" s="10"/>
      <c r="O41" s="10"/>
    </row>
    <row r="42" customFormat="false" ht="23.25" hidden="false" customHeight="true" outlineLevel="0" collapsed="false">
      <c r="A42" s="8" t="n">
        <v>41</v>
      </c>
      <c r="B42" s="8" t="n">
        <v>2</v>
      </c>
      <c r="C42" s="8" t="s">
        <v>282</v>
      </c>
      <c r="D42" s="8" t="s">
        <v>283</v>
      </c>
      <c r="E42" s="8" t="s">
        <v>182</v>
      </c>
      <c r="F42" s="8" t="s">
        <v>52</v>
      </c>
      <c r="G42" s="8" t="s">
        <v>126</v>
      </c>
      <c r="H42" s="8" t="s">
        <v>284</v>
      </c>
      <c r="I42" s="8" t="s">
        <v>55</v>
      </c>
      <c r="J42" s="8" t="s">
        <v>285</v>
      </c>
      <c r="K42" s="9" t="s">
        <v>286</v>
      </c>
      <c r="L42" s="10" t="s">
        <v>58</v>
      </c>
      <c r="M42" s="10"/>
      <c r="N42" s="10"/>
      <c r="O42" s="10"/>
    </row>
    <row r="43" customFormat="false" ht="23.25" hidden="false" customHeight="true" outlineLevel="0" collapsed="false">
      <c r="A43" s="8" t="n">
        <v>42</v>
      </c>
      <c r="B43" s="8" t="n">
        <v>1</v>
      </c>
      <c r="C43" s="8" t="s">
        <v>287</v>
      </c>
      <c r="D43" s="8" t="s">
        <v>288</v>
      </c>
      <c r="E43" s="8" t="s">
        <v>289</v>
      </c>
      <c r="F43" s="8" t="s">
        <v>52</v>
      </c>
      <c r="G43" s="8" t="s">
        <v>215</v>
      </c>
      <c r="H43" s="8" t="s">
        <v>290</v>
      </c>
      <c r="I43" s="8" t="s">
        <v>55</v>
      </c>
      <c r="J43" s="8" t="s">
        <v>291</v>
      </c>
      <c r="K43" s="9" t="s">
        <v>292</v>
      </c>
      <c r="L43" s="10" t="s">
        <v>58</v>
      </c>
      <c r="M43" s="10"/>
      <c r="N43" s="10"/>
      <c r="O43" s="10"/>
    </row>
    <row r="44" customFormat="false" ht="23.25" hidden="false" customHeight="true" outlineLevel="0" collapsed="false">
      <c r="A44" s="8" t="n">
        <v>43</v>
      </c>
      <c r="B44" s="8" t="n">
        <v>2</v>
      </c>
      <c r="C44" s="8" t="s">
        <v>293</v>
      </c>
      <c r="D44" s="8" t="s">
        <v>294</v>
      </c>
      <c r="E44" s="8" t="s">
        <v>143</v>
      </c>
      <c r="F44" s="8" t="s">
        <v>52</v>
      </c>
      <c r="G44" s="8" t="s">
        <v>204</v>
      </c>
      <c r="H44" s="8" t="s">
        <v>295</v>
      </c>
      <c r="I44" s="8" t="s">
        <v>55</v>
      </c>
      <c r="J44" s="8" t="s">
        <v>296</v>
      </c>
      <c r="K44" s="9" t="s">
        <v>297</v>
      </c>
      <c r="L44" s="10" t="s">
        <v>58</v>
      </c>
      <c r="M44" s="10"/>
      <c r="N44" s="10"/>
      <c r="O44" s="10"/>
    </row>
    <row r="45" customFormat="false" ht="23.25" hidden="false" customHeight="true" outlineLevel="0" collapsed="false">
      <c r="A45" s="8" t="n">
        <v>44</v>
      </c>
      <c r="B45" s="8" t="n">
        <v>2</v>
      </c>
      <c r="C45" s="8" t="s">
        <v>298</v>
      </c>
      <c r="D45" s="8" t="s">
        <v>299</v>
      </c>
      <c r="E45" s="8" t="s">
        <v>300</v>
      </c>
      <c r="F45" s="8" t="s">
        <v>62</v>
      </c>
      <c r="G45" s="8" t="s">
        <v>120</v>
      </c>
      <c r="H45" s="8" t="s">
        <v>301</v>
      </c>
      <c r="I45" s="8" t="s">
        <v>55</v>
      </c>
      <c r="J45" s="8" t="s">
        <v>302</v>
      </c>
      <c r="K45" s="9" t="s">
        <v>303</v>
      </c>
      <c r="L45" s="10" t="s">
        <v>58</v>
      </c>
      <c r="M45" s="10"/>
      <c r="N45" s="10"/>
      <c r="O45" s="10"/>
    </row>
    <row r="46" customFormat="false" ht="34.5" hidden="false" customHeight="true" outlineLevel="0" collapsed="false">
      <c r="A46" s="8" t="n">
        <v>45</v>
      </c>
      <c r="B46" s="8" t="n">
        <v>1</v>
      </c>
      <c r="C46" s="8" t="s">
        <v>304</v>
      </c>
      <c r="D46" s="8" t="s">
        <v>305</v>
      </c>
      <c r="E46" s="8" t="s">
        <v>306</v>
      </c>
      <c r="F46" s="8" t="s">
        <v>52</v>
      </c>
      <c r="G46" s="8" t="s">
        <v>120</v>
      </c>
      <c r="H46" s="8" t="s">
        <v>307</v>
      </c>
      <c r="I46" s="8" t="s">
        <v>55</v>
      </c>
      <c r="J46" s="8" t="s">
        <v>308</v>
      </c>
      <c r="K46" s="9" t="s">
        <v>309</v>
      </c>
      <c r="L46" s="10" t="s">
        <v>58</v>
      </c>
      <c r="M46" s="10"/>
      <c r="N46" s="10"/>
      <c r="O46" s="10"/>
    </row>
    <row r="47" customFormat="false" ht="23.25" hidden="false" customHeight="true" outlineLevel="0" collapsed="false">
      <c r="A47" s="8" t="n">
        <v>46</v>
      </c>
      <c r="B47" s="8" t="n">
        <v>1</v>
      </c>
      <c r="C47" s="8" t="s">
        <v>310</v>
      </c>
      <c r="D47" s="8" t="s">
        <v>311</v>
      </c>
      <c r="E47" s="8" t="s">
        <v>306</v>
      </c>
      <c r="F47" s="8" t="s">
        <v>52</v>
      </c>
      <c r="G47" s="8" t="s">
        <v>188</v>
      </c>
      <c r="H47" s="8" t="s">
        <v>312</v>
      </c>
      <c r="I47" s="8" t="s">
        <v>55</v>
      </c>
      <c r="J47" s="8" t="s">
        <v>313</v>
      </c>
      <c r="K47" s="9" t="s">
        <v>314</v>
      </c>
      <c r="L47" s="10" t="s">
        <v>58</v>
      </c>
      <c r="M47" s="10"/>
      <c r="N47" s="10"/>
      <c r="O47" s="10"/>
    </row>
    <row r="48" customFormat="false" ht="23.25" hidden="false" customHeight="true" outlineLevel="0" collapsed="false">
      <c r="A48" s="8" t="n">
        <v>47</v>
      </c>
      <c r="B48" s="8" t="n">
        <v>1</v>
      </c>
      <c r="C48" s="8" t="s">
        <v>315</v>
      </c>
      <c r="D48" s="8" t="s">
        <v>316</v>
      </c>
      <c r="E48" s="8" t="s">
        <v>317</v>
      </c>
      <c r="F48" s="8" t="s">
        <v>52</v>
      </c>
      <c r="G48" s="8" t="s">
        <v>107</v>
      </c>
      <c r="H48" s="8" t="s">
        <v>318</v>
      </c>
      <c r="I48" s="8" t="s">
        <v>55</v>
      </c>
      <c r="J48" s="8" t="s">
        <v>319</v>
      </c>
      <c r="K48" s="9" t="s">
        <v>320</v>
      </c>
      <c r="L48" s="10" t="s">
        <v>58</v>
      </c>
      <c r="M48" s="10"/>
      <c r="N48" s="10"/>
      <c r="O48" s="10"/>
    </row>
    <row r="49" customFormat="false" ht="23.25" hidden="false" customHeight="true" outlineLevel="0" collapsed="false">
      <c r="A49" s="8" t="n">
        <v>48</v>
      </c>
      <c r="B49" s="8" t="n">
        <v>2</v>
      </c>
      <c r="C49" s="8" t="s">
        <v>321</v>
      </c>
      <c r="D49" s="8" t="s">
        <v>322</v>
      </c>
      <c r="E49" s="8" t="s">
        <v>83</v>
      </c>
      <c r="F49" s="8" t="s">
        <v>52</v>
      </c>
      <c r="G49" s="8" t="s">
        <v>53</v>
      </c>
      <c r="H49" s="8" t="s">
        <v>323</v>
      </c>
      <c r="I49" s="8" t="s">
        <v>324</v>
      </c>
      <c r="J49" s="8" t="s">
        <v>325</v>
      </c>
      <c r="K49" s="9" t="s">
        <v>326</v>
      </c>
      <c r="L49" s="10" t="s">
        <v>58</v>
      </c>
      <c r="M49" s="10"/>
      <c r="N49" s="10"/>
      <c r="O49" s="10"/>
    </row>
    <row r="50" customFormat="false" ht="23.25" hidden="false" customHeight="true" outlineLevel="0" collapsed="false">
      <c r="A50" s="8" t="n">
        <v>49</v>
      </c>
      <c r="B50" s="8" t="n">
        <v>1</v>
      </c>
      <c r="C50" s="8" t="s">
        <v>327</v>
      </c>
      <c r="D50" s="8" t="s">
        <v>328</v>
      </c>
      <c r="E50" s="8" t="s">
        <v>113</v>
      </c>
      <c r="F50" s="8" t="s">
        <v>52</v>
      </c>
      <c r="G50" s="8" t="s">
        <v>107</v>
      </c>
      <c r="H50" s="8" t="s">
        <v>329</v>
      </c>
      <c r="I50" s="8" t="s">
        <v>324</v>
      </c>
      <c r="J50" s="8" t="s">
        <v>330</v>
      </c>
      <c r="K50" s="9" t="s">
        <v>331</v>
      </c>
      <c r="L50" s="10" t="s">
        <v>58</v>
      </c>
      <c r="M50" s="10"/>
      <c r="N50" s="10"/>
      <c r="O50" s="10"/>
    </row>
    <row r="51" customFormat="false" ht="34.5" hidden="false" customHeight="true" outlineLevel="0" collapsed="false">
      <c r="A51" s="8" t="n">
        <v>50</v>
      </c>
      <c r="B51" s="8" t="n">
        <v>2</v>
      </c>
      <c r="C51" s="8" t="s">
        <v>332</v>
      </c>
      <c r="D51" s="8" t="s">
        <v>333</v>
      </c>
      <c r="E51" s="8" t="s">
        <v>61</v>
      </c>
      <c r="F51" s="8" t="s">
        <v>62</v>
      </c>
      <c r="G51" s="8" t="s">
        <v>215</v>
      </c>
      <c r="H51" s="8" t="s">
        <v>334</v>
      </c>
      <c r="I51" s="8" t="s">
        <v>324</v>
      </c>
      <c r="J51" s="8" t="s">
        <v>335</v>
      </c>
      <c r="K51" s="9" t="s">
        <v>336</v>
      </c>
      <c r="L51" s="10" t="s">
        <v>58</v>
      </c>
      <c r="M51" s="10"/>
      <c r="N51" s="10"/>
      <c r="O51" s="10"/>
    </row>
    <row r="52" customFormat="false" ht="23.25" hidden="false" customHeight="true" outlineLevel="0" collapsed="false">
      <c r="A52" s="8" t="n">
        <v>51</v>
      </c>
      <c r="B52" s="8" t="n">
        <v>1</v>
      </c>
      <c r="C52" s="8" t="s">
        <v>337</v>
      </c>
      <c r="D52" s="8" t="s">
        <v>338</v>
      </c>
      <c r="E52" s="8" t="s">
        <v>306</v>
      </c>
      <c r="F52" s="8" t="s">
        <v>52</v>
      </c>
      <c r="G52" s="8" t="s">
        <v>120</v>
      </c>
      <c r="H52" s="8" t="s">
        <v>339</v>
      </c>
      <c r="I52" s="8" t="s">
        <v>324</v>
      </c>
      <c r="J52" s="8" t="s">
        <v>340</v>
      </c>
      <c r="K52" s="9" t="s">
        <v>341</v>
      </c>
      <c r="L52" s="10" t="s">
        <v>58</v>
      </c>
      <c r="M52" s="10"/>
      <c r="N52" s="10"/>
      <c r="O52" s="10"/>
    </row>
  </sheetData>
  <autoFilter ref="A1:O52"/>
  <dataValidations count="1">
    <dataValidation allowBlank="true" errorStyle="stop" operator="between" showDropDown="false" showErrorMessage="false" showInputMessage="false" sqref="L2:L52" type="list">
      <formula1>"À contacter,Contacté,RDV pris,Proposition envoyée,Gagné,Perdu,Pas intéressé"</formula1>
      <formula2>0</formula2>
    </dataValidation>
  </dataValidations>
  <hyperlinks>
    <hyperlink ref="K2" r:id="rId1" display="https://annuaire-entreprises.data.gouv.fr/entreprise/531986610"/>
    <hyperlink ref="K3" r:id="rId2" display="https://annuaire-entreprises.data.gouv.fr/entreprise/451113153"/>
    <hyperlink ref="K4" r:id="rId3" display="https://annuaire-entreprises.data.gouv.fr/entreprise/443242755"/>
    <hyperlink ref="K5" r:id="rId4" display="https://annuaire-entreprises.data.gouv.fr/entreprise/901556381"/>
    <hyperlink ref="K6" r:id="rId5" display="https://annuaire-entreprises.data.gouv.fr/entreprise/519311252"/>
    <hyperlink ref="K7" r:id="rId6" display="https://annuaire-entreprises.data.gouv.fr/entreprise/804308914"/>
    <hyperlink ref="K8" r:id="rId7" display="https://annuaire-entreprises.data.gouv.fr/entreprise/807851175"/>
    <hyperlink ref="K9" r:id="rId8" display="https://annuaire-entreprises.data.gouv.fr/entreprise/892320888"/>
    <hyperlink ref="K10" r:id="rId9" display="https://annuaire-entreprises.data.gouv.fr/entreprise/842294530"/>
    <hyperlink ref="K11" r:id="rId10" display="https://annuaire-entreprises.data.gouv.fr/entreprise/841508880"/>
    <hyperlink ref="K12" r:id="rId11" display="https://annuaire-entreprises.data.gouv.fr/entreprise/921899019"/>
    <hyperlink ref="K13" r:id="rId12" display="https://annuaire-entreprises.data.gouv.fr/entreprise/513842823"/>
    <hyperlink ref="K14" r:id="rId13" display="https://annuaire-entreprises.data.gouv.fr/entreprise/788677185"/>
    <hyperlink ref="K15" r:id="rId14" display="https://annuaire-entreprises.data.gouv.fr/entreprise/321153009"/>
    <hyperlink ref="K16" r:id="rId15" display="https://annuaire-entreprises.data.gouv.fr/entreprise/494627599"/>
    <hyperlink ref="K17" r:id="rId16" display="https://annuaire-entreprises.data.gouv.fr/entreprise/328887187"/>
    <hyperlink ref="K18" r:id="rId17" display="https://annuaire-entreprises.data.gouv.fr/entreprise/443624697"/>
    <hyperlink ref="K19" r:id="rId18" display="https://annuaire-entreprises.data.gouv.fr/entreprise/390662963"/>
    <hyperlink ref="K20" r:id="rId19" display="https://annuaire-entreprises.data.gouv.fr/entreprise/439840653"/>
    <hyperlink ref="K21" r:id="rId20" display="https://annuaire-entreprises.data.gouv.fr/entreprise/791915416"/>
    <hyperlink ref="K22" r:id="rId21" display="https://annuaire-entreprises.data.gouv.fr/entreprise/501102669"/>
    <hyperlink ref="K23" r:id="rId22" display="https://annuaire-entreprises.data.gouv.fr/entreprise/842979338"/>
    <hyperlink ref="K24" r:id="rId23" display="https://annuaire-entreprises.data.gouv.fr/entreprise/901342311"/>
    <hyperlink ref="K25" r:id="rId24" display="https://annuaire-entreprises.data.gouv.fr/entreprise/789962214"/>
    <hyperlink ref="K26" r:id="rId25" display="https://annuaire-entreprises.data.gouv.fr/entreprise/390912764"/>
    <hyperlink ref="K27" r:id="rId26" display="https://annuaire-entreprises.data.gouv.fr/entreprise/808091870"/>
    <hyperlink ref="K28" r:id="rId27" display="https://annuaire-entreprises.data.gouv.fr/entreprise/835224296"/>
    <hyperlink ref="K29" r:id="rId28" display="https://annuaire-entreprises.data.gouv.fr/entreprise/527958995"/>
    <hyperlink ref="K30" r:id="rId29" display="https://annuaire-entreprises.data.gouv.fr/entreprise/429936032"/>
    <hyperlink ref="K31" r:id="rId30" display="https://annuaire-entreprises.data.gouv.fr/entreprise/839192572"/>
    <hyperlink ref="K32" r:id="rId31" display="https://annuaire-entreprises.data.gouv.fr/entreprise/515040046"/>
    <hyperlink ref="K33" r:id="rId32" display="https://annuaire-entreprises.data.gouv.fr/entreprise/878965680"/>
    <hyperlink ref="K34" r:id="rId33" display="https://annuaire-entreprises.data.gouv.fr/entreprise/501229835"/>
    <hyperlink ref="K35" r:id="rId34" display="https://annuaire-entreprises.data.gouv.fr/entreprise/510963473"/>
    <hyperlink ref="K36" r:id="rId35" display="https://annuaire-entreprises.data.gouv.fr/entreprise/326554847"/>
    <hyperlink ref="K37" r:id="rId36" display="https://annuaire-entreprises.data.gouv.fr/entreprise/447693110"/>
    <hyperlink ref="K38" r:id="rId37" display="https://annuaire-entreprises.data.gouv.fr/entreprise/753979327"/>
    <hyperlink ref="K39" r:id="rId38" display="https://annuaire-entreprises.data.gouv.fr/entreprise/316881226"/>
    <hyperlink ref="K40" r:id="rId39" display="https://annuaire-entreprises.data.gouv.fr/entreprise/353778020"/>
    <hyperlink ref="K41" r:id="rId40" display="https://annuaire-entreprises.data.gouv.fr/entreprise/437488182"/>
    <hyperlink ref="K42" r:id="rId41" display="https://annuaire-entreprises.data.gouv.fr/entreprise/789781978"/>
    <hyperlink ref="K43" r:id="rId42" display="https://annuaire-entreprises.data.gouv.fr/entreprise/305708612"/>
    <hyperlink ref="K44" r:id="rId43" display="https://annuaire-entreprises.data.gouv.fr/entreprise/351808845"/>
    <hyperlink ref="K45" r:id="rId44" display="https://annuaire-entreprises.data.gouv.fr/entreprise/824224893"/>
    <hyperlink ref="K46" r:id="rId45" display="https://annuaire-entreprises.data.gouv.fr/entreprise/500391214"/>
    <hyperlink ref="K47" r:id="rId46" display="https://annuaire-entreprises.data.gouv.fr/entreprise/790281059"/>
    <hyperlink ref="K48" r:id="rId47" display="https://annuaire-entreprises.data.gouv.fr/entreprise/854070752"/>
    <hyperlink ref="K49" r:id="rId48" display="https://annuaire-entreprises.data.gouv.fr/entreprise/531277101"/>
    <hyperlink ref="K50" r:id="rId49" display="https://annuaire-entreprises.data.gouv.fr/entreprise/752303537"/>
    <hyperlink ref="K51" r:id="rId50" display="https://annuaire-entreprises.data.gouv.fr/entreprise/819838830"/>
    <hyperlink ref="K52" r:id="rId51" display="https://annuaire-entreprises.data.gouv.fr/entreprise/41497307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2"/>
    <col collapsed="false" customWidth="true" hidden="false" outlineLevel="0" max="3" min="3" style="1" width="30"/>
    <col collapsed="false" customWidth="true" hidden="false" outlineLevel="0" max="4" min="4" style="1" width="9"/>
    <col collapsed="false" customWidth="true" hidden="false" outlineLevel="0" max="5" min="5" style="1" width="18"/>
    <col collapsed="false" customWidth="true" hidden="false" outlineLevel="0" max="6" min="6" style="1" width="40"/>
    <col collapsed="false" customWidth="true" hidden="false" outlineLevel="0" max="7" min="7" style="1" width="45"/>
    <col collapsed="false" customWidth="true" hidden="false" outlineLevel="0" max="8" min="8" style="0" width="34"/>
    <col collapsed="false" customWidth="true" hidden="false" outlineLevel="0" max="9" min="9" style="0" width="16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7" t="s">
        <v>37</v>
      </c>
      <c r="B1" s="7" t="s">
        <v>38</v>
      </c>
      <c r="C1" s="7" t="s">
        <v>39</v>
      </c>
      <c r="D1" s="7" t="s">
        <v>12</v>
      </c>
      <c r="E1" s="7" t="s">
        <v>40</v>
      </c>
      <c r="F1" s="7" t="s">
        <v>342</v>
      </c>
      <c r="G1" s="7" t="s">
        <v>343</v>
      </c>
      <c r="H1" s="7" t="s">
        <v>344</v>
      </c>
      <c r="I1" s="7" t="s">
        <v>345</v>
      </c>
      <c r="J1" s="7" t="s">
        <v>346</v>
      </c>
    </row>
    <row r="2" customFormat="false" ht="15" hidden="false" customHeight="true" outlineLevel="0" collapsed="false">
      <c r="A2" s="8" t="s">
        <v>347</v>
      </c>
      <c r="B2" s="8" t="s">
        <v>348</v>
      </c>
      <c r="C2" s="8" t="s">
        <v>306</v>
      </c>
      <c r="D2" s="8" t="s">
        <v>52</v>
      </c>
      <c r="E2" s="8" t="s">
        <v>215</v>
      </c>
      <c r="F2" s="9" t="s">
        <v>349</v>
      </c>
      <c r="G2" s="8"/>
      <c r="H2" s="8" t="s">
        <v>350</v>
      </c>
      <c r="I2" s="8" t="s">
        <v>351</v>
      </c>
      <c r="J2" s="8" t="str">
        <f aca="false">IF(OR(I2="Pas de domaine",I2="Non vérifié"),"",IF(I2="Microsoft 365",1,2))</f>
        <v/>
      </c>
    </row>
    <row r="3" customFormat="false" ht="23.25" hidden="false" customHeight="true" outlineLevel="0" collapsed="false">
      <c r="A3" s="8" t="s">
        <v>352</v>
      </c>
      <c r="B3" s="8" t="s">
        <v>353</v>
      </c>
      <c r="C3" s="8" t="s">
        <v>113</v>
      </c>
      <c r="D3" s="8" t="s">
        <v>52</v>
      </c>
      <c r="E3" s="8" t="s">
        <v>63</v>
      </c>
      <c r="F3" s="9" t="s">
        <v>354</v>
      </c>
      <c r="G3" s="8" t="s">
        <v>355</v>
      </c>
      <c r="H3" s="8" t="s">
        <v>356</v>
      </c>
      <c r="I3" s="8" t="s">
        <v>351</v>
      </c>
      <c r="J3" s="8" t="str">
        <f aca="false">IF(OR(I3="Pas de domaine",I3="Non vérifié"),"",IF(I3="Microsoft 365",1,2))</f>
        <v/>
      </c>
    </row>
    <row r="4" customFormat="false" ht="15" hidden="false" customHeight="true" outlineLevel="0" collapsed="false">
      <c r="A4" s="8" t="s">
        <v>357</v>
      </c>
      <c r="B4" s="8" t="s">
        <v>358</v>
      </c>
      <c r="C4" s="8" t="s">
        <v>106</v>
      </c>
      <c r="D4" s="8" t="s">
        <v>52</v>
      </c>
      <c r="E4" s="8" t="s">
        <v>120</v>
      </c>
      <c r="F4" s="9" t="s">
        <v>359</v>
      </c>
      <c r="G4" s="8"/>
      <c r="H4" s="8" t="s">
        <v>360</v>
      </c>
      <c r="I4" s="8" t="s">
        <v>351</v>
      </c>
      <c r="J4" s="8" t="str">
        <f aca="false">IF(OR(I4="Pas de domaine",I4="Non vérifié"),"",IF(I4="Microsoft 365",1,2))</f>
        <v/>
      </c>
    </row>
    <row r="5" customFormat="false" ht="23.25" hidden="false" customHeight="true" outlineLevel="0" collapsed="false">
      <c r="A5" s="8" t="s">
        <v>361</v>
      </c>
      <c r="B5" s="8" t="s">
        <v>362</v>
      </c>
      <c r="C5" s="8" t="s">
        <v>289</v>
      </c>
      <c r="D5" s="8" t="s">
        <v>52</v>
      </c>
      <c r="E5" s="8" t="s">
        <v>120</v>
      </c>
      <c r="F5" s="9" t="s">
        <v>363</v>
      </c>
      <c r="G5" s="8" t="s">
        <v>364</v>
      </c>
      <c r="H5" s="8" t="s">
        <v>365</v>
      </c>
      <c r="I5" s="8" t="s">
        <v>351</v>
      </c>
      <c r="J5" s="8" t="str">
        <f aca="false">IF(OR(I5="Pas de domaine",I5="Non vérifié"),"",IF(I5="Microsoft 365",1,2))</f>
        <v/>
      </c>
    </row>
    <row r="6" customFormat="false" ht="23.25" hidden="false" customHeight="true" outlineLevel="0" collapsed="false">
      <c r="A6" s="8" t="s">
        <v>366</v>
      </c>
      <c r="B6" s="8" t="s">
        <v>367</v>
      </c>
      <c r="C6" s="8" t="s">
        <v>289</v>
      </c>
      <c r="D6" s="8" t="s">
        <v>62</v>
      </c>
      <c r="E6" s="8" t="s">
        <v>107</v>
      </c>
      <c r="F6" s="9" t="s">
        <v>368</v>
      </c>
      <c r="G6" s="8"/>
      <c r="H6" s="8" t="s">
        <v>369</v>
      </c>
      <c r="I6" s="8" t="s">
        <v>351</v>
      </c>
      <c r="J6" s="8" t="str">
        <f aca="false">IF(OR(I6="Pas de domaine",I6="Non vérifié"),"",IF(I6="Microsoft 365",1,2))</f>
        <v/>
      </c>
    </row>
    <row r="7" customFormat="false" ht="23.25" hidden="false" customHeight="true" outlineLevel="0" collapsed="false">
      <c r="A7" s="8" t="s">
        <v>370</v>
      </c>
      <c r="B7" s="8" t="s">
        <v>371</v>
      </c>
      <c r="C7" s="8" t="s">
        <v>51</v>
      </c>
      <c r="D7" s="8" t="s">
        <v>52</v>
      </c>
      <c r="E7" s="8" t="s">
        <v>120</v>
      </c>
      <c r="F7" s="9" t="s">
        <v>372</v>
      </c>
      <c r="G7" s="8"/>
      <c r="H7" s="8" t="s">
        <v>373</v>
      </c>
      <c r="I7" s="8" t="s">
        <v>351</v>
      </c>
      <c r="J7" s="8" t="str">
        <f aca="false">IF(OR(I7="Pas de domaine",I7="Non vérifié"),"",IF(I7="Microsoft 365",1,2))</f>
        <v/>
      </c>
    </row>
    <row r="8" customFormat="false" ht="15" hidden="false" customHeight="true" outlineLevel="0" collapsed="false">
      <c r="A8" s="8" t="s">
        <v>374</v>
      </c>
      <c r="B8" s="8" t="s">
        <v>375</v>
      </c>
      <c r="C8" s="8" t="s">
        <v>160</v>
      </c>
      <c r="D8" s="8" t="s">
        <v>62</v>
      </c>
      <c r="E8" s="8" t="s">
        <v>70</v>
      </c>
      <c r="F8" s="9" t="s">
        <v>376</v>
      </c>
      <c r="G8" s="8"/>
      <c r="H8" s="8" t="s">
        <v>377</v>
      </c>
      <c r="I8" s="8" t="s">
        <v>351</v>
      </c>
      <c r="J8" s="8" t="str">
        <f aca="false">IF(OR(I8="Pas de domaine",I8="Non vérifié"),"",IF(I8="Microsoft 365",1,2))</f>
        <v/>
      </c>
    </row>
    <row r="9" customFormat="false" ht="15" hidden="false" customHeight="true" outlineLevel="0" collapsed="false">
      <c r="A9" s="8" t="s">
        <v>378</v>
      </c>
      <c r="B9" s="8" t="s">
        <v>379</v>
      </c>
      <c r="C9" s="8" t="s">
        <v>160</v>
      </c>
      <c r="D9" s="8" t="s">
        <v>52</v>
      </c>
      <c r="E9" s="8" t="s">
        <v>120</v>
      </c>
      <c r="F9" s="9" t="s">
        <v>380</v>
      </c>
      <c r="G9" s="8"/>
      <c r="H9" s="8" t="s">
        <v>381</v>
      </c>
      <c r="I9" s="8" t="s">
        <v>351</v>
      </c>
      <c r="J9" s="8" t="str">
        <f aca="false">IF(OR(I9="Pas de domaine",I9="Non vérifié"),"",IF(I9="Microsoft 365",1,2))</f>
        <v/>
      </c>
    </row>
    <row r="10" customFormat="false" ht="15" hidden="false" customHeight="true" outlineLevel="0" collapsed="false">
      <c r="A10" s="8" t="s">
        <v>382</v>
      </c>
      <c r="B10" s="8" t="s">
        <v>383</v>
      </c>
      <c r="C10" s="8" t="s">
        <v>69</v>
      </c>
      <c r="D10" s="8" t="s">
        <v>62</v>
      </c>
      <c r="E10" s="8" t="s">
        <v>215</v>
      </c>
      <c r="F10" s="9" t="s">
        <v>384</v>
      </c>
      <c r="G10" s="8" t="s">
        <v>385</v>
      </c>
      <c r="H10" s="8" t="s">
        <v>386</v>
      </c>
      <c r="I10" s="8" t="s">
        <v>351</v>
      </c>
      <c r="J10" s="8" t="str">
        <f aca="false">IF(OR(I10="Pas de domaine",I10="Non vérifié"),"",IF(I10="Microsoft 365",1,2))</f>
        <v/>
      </c>
    </row>
    <row r="11" customFormat="false" ht="15" hidden="false" customHeight="true" outlineLevel="0" collapsed="false">
      <c r="A11" s="8" t="s">
        <v>387</v>
      </c>
      <c r="B11" s="8" t="s">
        <v>388</v>
      </c>
      <c r="C11" s="8" t="s">
        <v>300</v>
      </c>
      <c r="D11" s="8" t="s">
        <v>52</v>
      </c>
      <c r="E11" s="8" t="s">
        <v>389</v>
      </c>
      <c r="F11" s="9" t="s">
        <v>390</v>
      </c>
      <c r="G11" s="8"/>
      <c r="H11" s="8" t="s">
        <v>391</v>
      </c>
      <c r="I11" s="8" t="s">
        <v>351</v>
      </c>
      <c r="J11" s="8" t="str">
        <f aca="false">IF(OR(I11="Pas de domaine",I11="Non vérifié"),"",IF(I11="Microsoft 365",1,2))</f>
        <v/>
      </c>
    </row>
    <row r="12" customFormat="false" ht="23.25" hidden="false" customHeight="true" outlineLevel="0" collapsed="false">
      <c r="A12" s="8" t="s">
        <v>392</v>
      </c>
      <c r="B12" s="8" t="s">
        <v>393</v>
      </c>
      <c r="C12" s="8" t="s">
        <v>143</v>
      </c>
      <c r="D12" s="8" t="s">
        <v>52</v>
      </c>
      <c r="E12" s="8" t="s">
        <v>89</v>
      </c>
      <c r="F12" s="9" t="s">
        <v>394</v>
      </c>
      <c r="G12" s="8"/>
      <c r="H12" s="8" t="s">
        <v>395</v>
      </c>
      <c r="I12" s="8" t="s">
        <v>351</v>
      </c>
      <c r="J12" s="8" t="str">
        <f aca="false">IF(OR(I12="Pas de domaine",I12="Non vérifié"),"",IF(I12="Microsoft 365",1,2))</f>
        <v/>
      </c>
    </row>
    <row r="13" customFormat="false" ht="23.25" hidden="false" customHeight="true" outlineLevel="0" collapsed="false">
      <c r="A13" s="8" t="s">
        <v>396</v>
      </c>
      <c r="B13" s="8" t="s">
        <v>397</v>
      </c>
      <c r="C13" s="8" t="s">
        <v>143</v>
      </c>
      <c r="D13" s="8" t="s">
        <v>52</v>
      </c>
      <c r="E13" s="8" t="s">
        <v>107</v>
      </c>
      <c r="F13" s="9" t="s">
        <v>398</v>
      </c>
      <c r="G13" s="8"/>
      <c r="H13" s="8" t="s">
        <v>399</v>
      </c>
      <c r="I13" s="8" t="s">
        <v>351</v>
      </c>
      <c r="J13" s="8" t="str">
        <f aca="false">IF(OR(I13="Pas de domaine",I13="Non vérifié"),"",IF(I13="Microsoft 365",1,2))</f>
        <v/>
      </c>
    </row>
    <row r="14" customFormat="false" ht="15" hidden="false" customHeight="true" outlineLevel="0" collapsed="false">
      <c r="A14" s="8" t="s">
        <v>400</v>
      </c>
      <c r="B14" s="8" t="s">
        <v>401</v>
      </c>
      <c r="C14" s="8" t="s">
        <v>76</v>
      </c>
      <c r="D14" s="8" t="s">
        <v>52</v>
      </c>
      <c r="E14" s="8" t="s">
        <v>53</v>
      </c>
      <c r="F14" s="9" t="s">
        <v>402</v>
      </c>
      <c r="G14" s="8" t="s">
        <v>403</v>
      </c>
      <c r="H14" s="8" t="s">
        <v>404</v>
      </c>
      <c r="I14" s="8" t="s">
        <v>351</v>
      </c>
      <c r="J14" s="8" t="str">
        <f aca="false">IF(OR(I14="Pas de domaine",I14="Non vérifié"),"",IF(I14="Microsoft 365",1,2))</f>
        <v/>
      </c>
    </row>
    <row r="15" customFormat="false" ht="15" hidden="false" customHeight="true" outlineLevel="0" collapsed="false">
      <c r="A15" s="8" t="s">
        <v>405</v>
      </c>
      <c r="B15" s="8" t="s">
        <v>406</v>
      </c>
      <c r="C15" s="8" t="s">
        <v>246</v>
      </c>
      <c r="D15" s="8" t="s">
        <v>52</v>
      </c>
      <c r="E15" s="8" t="s">
        <v>120</v>
      </c>
      <c r="F15" s="9" t="s">
        <v>407</v>
      </c>
      <c r="G15" s="8"/>
      <c r="H15" s="8" t="s">
        <v>408</v>
      </c>
      <c r="I15" s="8" t="s">
        <v>351</v>
      </c>
      <c r="J15" s="8" t="str">
        <f aca="false">IF(OR(I15="Pas de domaine",I15="Non vérifié"),"",IF(I15="Microsoft 365",1,2))</f>
        <v/>
      </c>
    </row>
    <row r="16" customFormat="false" ht="23.25" hidden="false" customHeight="true" outlineLevel="0" collapsed="false">
      <c r="A16" s="8" t="s">
        <v>409</v>
      </c>
      <c r="B16" s="8" t="s">
        <v>410</v>
      </c>
      <c r="C16" s="8" t="s">
        <v>83</v>
      </c>
      <c r="D16" s="8" t="s">
        <v>62</v>
      </c>
      <c r="E16" s="8" t="s">
        <v>411</v>
      </c>
      <c r="F16" s="9" t="s">
        <v>412</v>
      </c>
      <c r="G16" s="8"/>
      <c r="H16" s="8" t="s">
        <v>413</v>
      </c>
      <c r="I16" s="8" t="s">
        <v>351</v>
      </c>
      <c r="J16" s="8" t="str">
        <f aca="false">IF(OR(I16="Pas de domaine",I16="Non vérifié"),"",IF(I16="Microsoft 365",1,2))</f>
        <v/>
      </c>
    </row>
    <row r="17" customFormat="false" ht="15" hidden="false" customHeight="true" outlineLevel="0" collapsed="false">
      <c r="A17" s="8" t="s">
        <v>414</v>
      </c>
      <c r="B17" s="8" t="s">
        <v>415</v>
      </c>
      <c r="C17" s="8" t="s">
        <v>273</v>
      </c>
      <c r="D17" s="8" t="s">
        <v>52</v>
      </c>
      <c r="E17" s="8" t="s">
        <v>53</v>
      </c>
      <c r="F17" s="9" t="s">
        <v>416</v>
      </c>
      <c r="G17" s="8"/>
      <c r="H17" s="8" t="s">
        <v>417</v>
      </c>
      <c r="I17" s="8" t="s">
        <v>351</v>
      </c>
      <c r="J17" s="8" t="str">
        <f aca="false">IF(OR(I17="Pas de domaine",I17="Non vérifié"),"",IF(I17="Microsoft 365",1,2))</f>
        <v/>
      </c>
    </row>
    <row r="18" customFormat="false" ht="15" hidden="false" customHeight="true" outlineLevel="0" collapsed="false">
      <c r="A18" s="8" t="s">
        <v>418</v>
      </c>
      <c r="B18" s="8" t="s">
        <v>419</v>
      </c>
      <c r="C18" s="8" t="s">
        <v>69</v>
      </c>
      <c r="D18" s="8" t="s">
        <v>52</v>
      </c>
      <c r="E18" s="8" t="s">
        <v>107</v>
      </c>
      <c r="F18" s="9" t="s">
        <v>420</v>
      </c>
      <c r="G18" s="8"/>
      <c r="H18" s="8" t="s">
        <v>421</v>
      </c>
      <c r="I18" s="8" t="s">
        <v>351</v>
      </c>
      <c r="J18" s="8" t="str">
        <f aca="false">IF(OR(I18="Pas de domaine",I18="Non vérifié"),"",IF(I18="Microsoft 365",1,2))</f>
        <v/>
      </c>
    </row>
    <row r="19" customFormat="false" ht="15" hidden="false" customHeight="true" outlineLevel="0" collapsed="false">
      <c r="A19" s="8" t="s">
        <v>422</v>
      </c>
      <c r="B19" s="8" t="s">
        <v>423</v>
      </c>
      <c r="C19" s="8" t="s">
        <v>306</v>
      </c>
      <c r="D19" s="8" t="s">
        <v>52</v>
      </c>
      <c r="E19" s="8" t="s">
        <v>188</v>
      </c>
      <c r="F19" s="9" t="s">
        <v>424</v>
      </c>
      <c r="G19" s="8"/>
      <c r="H19" s="8" t="s">
        <v>425</v>
      </c>
      <c r="I19" s="8" t="s">
        <v>351</v>
      </c>
      <c r="J19" s="8" t="str">
        <f aca="false">IF(OR(I19="Pas de domaine",I19="Non vérifié"),"",IF(I19="Microsoft 365",1,2))</f>
        <v/>
      </c>
    </row>
    <row r="20" customFormat="false" ht="15" hidden="false" customHeight="true" outlineLevel="0" collapsed="false">
      <c r="A20" s="8" t="s">
        <v>426</v>
      </c>
      <c r="B20" s="8" t="s">
        <v>427</v>
      </c>
      <c r="C20" s="8" t="s">
        <v>306</v>
      </c>
      <c r="D20" s="8" t="s">
        <v>52</v>
      </c>
      <c r="E20" s="8" t="s">
        <v>120</v>
      </c>
      <c r="F20" s="9" t="s">
        <v>428</v>
      </c>
      <c r="G20" s="8" t="s">
        <v>429</v>
      </c>
      <c r="H20" s="8" t="s">
        <v>430</v>
      </c>
      <c r="I20" s="8" t="s">
        <v>351</v>
      </c>
      <c r="J20" s="8" t="str">
        <f aca="false">IF(OR(I20="Pas de domaine",I20="Non vérifié"),"",IF(I20="Microsoft 365",1,2))</f>
        <v/>
      </c>
    </row>
    <row r="21" customFormat="false" ht="15" hidden="false" customHeight="true" outlineLevel="0" collapsed="false">
      <c r="A21" s="8" t="s">
        <v>431</v>
      </c>
      <c r="B21" s="8" t="s">
        <v>432</v>
      </c>
      <c r="C21" s="8" t="s">
        <v>306</v>
      </c>
      <c r="D21" s="8" t="s">
        <v>52</v>
      </c>
      <c r="E21" s="8" t="s">
        <v>120</v>
      </c>
      <c r="F21" s="9" t="s">
        <v>433</v>
      </c>
      <c r="G21" s="8"/>
      <c r="H21" s="8" t="s">
        <v>434</v>
      </c>
      <c r="I21" s="8" t="s">
        <v>351</v>
      </c>
      <c r="J21" s="8" t="str">
        <f aca="false">IF(OR(I21="Pas de domaine",I21="Non vérifié"),"",IF(I21="Microsoft 365",1,2))</f>
        <v/>
      </c>
    </row>
    <row r="22" customFormat="false" ht="23.25" hidden="false" customHeight="true" outlineLevel="0" collapsed="false">
      <c r="A22" s="8" t="s">
        <v>435</v>
      </c>
      <c r="B22" s="8" t="s">
        <v>436</v>
      </c>
      <c r="C22" s="8" t="s">
        <v>83</v>
      </c>
      <c r="D22" s="8" t="s">
        <v>52</v>
      </c>
      <c r="E22" s="8" t="s">
        <v>120</v>
      </c>
      <c r="F22" s="9" t="s">
        <v>437</v>
      </c>
      <c r="G22" s="8" t="s">
        <v>438</v>
      </c>
      <c r="H22" s="8" t="s">
        <v>439</v>
      </c>
      <c r="I22" s="8" t="s">
        <v>351</v>
      </c>
      <c r="J22" s="8" t="str">
        <f aca="false">IF(OR(I22="Pas de domaine",I22="Non vérifié"),"",IF(I22="Microsoft 365",1,2))</f>
        <v/>
      </c>
    </row>
    <row r="23" customFormat="false" ht="15" hidden="false" customHeight="true" outlineLevel="0" collapsed="false">
      <c r="A23" s="8" t="s">
        <v>440</v>
      </c>
      <c r="B23" s="8" t="s">
        <v>441</v>
      </c>
      <c r="C23" s="8" t="s">
        <v>306</v>
      </c>
      <c r="D23" s="8" t="s">
        <v>62</v>
      </c>
      <c r="E23" s="8" t="s">
        <v>188</v>
      </c>
      <c r="F23" s="9" t="s">
        <v>442</v>
      </c>
      <c r="G23" s="8"/>
      <c r="H23" s="8" t="s">
        <v>443</v>
      </c>
      <c r="I23" s="8" t="s">
        <v>351</v>
      </c>
      <c r="J23" s="8" t="str">
        <f aca="false">IF(OR(I23="Pas de domaine",I23="Non vérifié"),"",IF(I23="Microsoft 365",1,2))</f>
        <v/>
      </c>
    </row>
    <row r="24" customFormat="false" ht="23.25" hidden="false" customHeight="true" outlineLevel="0" collapsed="false">
      <c r="A24" s="8" t="s">
        <v>444</v>
      </c>
      <c r="B24" s="8" t="s">
        <v>445</v>
      </c>
      <c r="C24" s="8" t="s">
        <v>289</v>
      </c>
      <c r="D24" s="8" t="s">
        <v>52</v>
      </c>
      <c r="E24" s="8" t="s">
        <v>120</v>
      </c>
      <c r="F24" s="9" t="s">
        <v>446</v>
      </c>
      <c r="G24" s="8"/>
      <c r="H24" s="8" t="s">
        <v>447</v>
      </c>
      <c r="I24" s="8" t="s">
        <v>351</v>
      </c>
      <c r="J24" s="8" t="str">
        <f aca="false">IF(OR(I24="Pas de domaine",I24="Non vérifié"),"",IF(I24="Microsoft 365",1,2))</f>
        <v/>
      </c>
    </row>
    <row r="25" customFormat="false" ht="23.25" hidden="false" customHeight="true" outlineLevel="0" collapsed="false">
      <c r="A25" s="8" t="s">
        <v>448</v>
      </c>
      <c r="B25" s="8" t="s">
        <v>449</v>
      </c>
      <c r="C25" s="8" t="s">
        <v>113</v>
      </c>
      <c r="D25" s="8" t="s">
        <v>62</v>
      </c>
      <c r="E25" s="8" t="s">
        <v>120</v>
      </c>
      <c r="F25" s="9" t="s">
        <v>450</v>
      </c>
      <c r="G25" s="8"/>
      <c r="H25" s="8" t="s">
        <v>451</v>
      </c>
      <c r="I25" s="8" t="s">
        <v>351</v>
      </c>
      <c r="J25" s="8" t="str">
        <f aca="false">IF(OR(I25="Pas de domaine",I25="Non vérifié"),"",IF(I25="Microsoft 365",1,2))</f>
        <v/>
      </c>
    </row>
    <row r="26" customFormat="false" ht="23.25" hidden="false" customHeight="true" outlineLevel="0" collapsed="false">
      <c r="A26" s="8" t="s">
        <v>452</v>
      </c>
      <c r="B26" s="8" t="s">
        <v>453</v>
      </c>
      <c r="C26" s="8" t="s">
        <v>289</v>
      </c>
      <c r="D26" s="8" t="s">
        <v>62</v>
      </c>
      <c r="E26" s="8" t="s">
        <v>63</v>
      </c>
      <c r="F26" s="9" t="s">
        <v>454</v>
      </c>
      <c r="G26" s="8"/>
      <c r="H26" s="8" t="s">
        <v>455</v>
      </c>
      <c r="I26" s="8" t="s">
        <v>351</v>
      </c>
      <c r="J26" s="8" t="str">
        <f aca="false">IF(OR(I26="Pas de domaine",I26="Non vérifié"),"",IF(I26="Microsoft 365",1,2))</f>
        <v/>
      </c>
    </row>
    <row r="27" customFormat="false" ht="23.25" hidden="false" customHeight="true" outlineLevel="0" collapsed="false">
      <c r="A27" s="8" t="s">
        <v>456</v>
      </c>
      <c r="B27" s="8" t="s">
        <v>457</v>
      </c>
      <c r="C27" s="8" t="s">
        <v>458</v>
      </c>
      <c r="D27" s="8" t="s">
        <v>52</v>
      </c>
      <c r="E27" s="8" t="s">
        <v>188</v>
      </c>
      <c r="F27" s="9" t="s">
        <v>459</v>
      </c>
      <c r="G27" s="8"/>
      <c r="H27" s="8" t="s">
        <v>460</v>
      </c>
      <c r="I27" s="8" t="s">
        <v>351</v>
      </c>
      <c r="J27" s="8" t="str">
        <f aca="false">IF(OR(I27="Pas de domaine",I27="Non vérifié"),"",IF(I27="Microsoft 365",1,2))</f>
        <v/>
      </c>
    </row>
    <row r="28" customFormat="false" ht="15" hidden="false" customHeight="true" outlineLevel="0" collapsed="false">
      <c r="A28" s="8" t="s">
        <v>461</v>
      </c>
      <c r="B28" s="8" t="s">
        <v>462</v>
      </c>
      <c r="C28" s="8" t="s">
        <v>76</v>
      </c>
      <c r="D28" s="8" t="s">
        <v>62</v>
      </c>
      <c r="E28" s="8" t="s">
        <v>70</v>
      </c>
      <c r="F28" s="9" t="s">
        <v>463</v>
      </c>
      <c r="G28" s="8"/>
      <c r="H28" s="8" t="s">
        <v>464</v>
      </c>
      <c r="I28" s="8" t="s">
        <v>351</v>
      </c>
      <c r="J28" s="8" t="str">
        <f aca="false">IF(OR(I28="Pas de domaine",I28="Non vérifié"),"",IF(I28="Microsoft 365",1,2))</f>
        <v/>
      </c>
    </row>
    <row r="29" customFormat="false" ht="15" hidden="false" customHeight="true" outlineLevel="0" collapsed="false">
      <c r="A29" s="8" t="s">
        <v>465</v>
      </c>
      <c r="B29" s="8" t="s">
        <v>466</v>
      </c>
      <c r="C29" s="8" t="s">
        <v>106</v>
      </c>
      <c r="D29" s="8" t="s">
        <v>62</v>
      </c>
      <c r="E29" s="8" t="s">
        <v>411</v>
      </c>
      <c r="F29" s="9" t="s">
        <v>467</v>
      </c>
      <c r="G29" s="8"/>
      <c r="H29" s="8" t="s">
        <v>468</v>
      </c>
      <c r="I29" s="8" t="s">
        <v>351</v>
      </c>
      <c r="J29" s="8" t="str">
        <f aca="false">IF(OR(I29="Pas de domaine",I29="Non vérifié"),"",IF(I29="Microsoft 365",1,2))</f>
        <v/>
      </c>
    </row>
    <row r="30" customFormat="false" ht="23.25" hidden="false" customHeight="true" outlineLevel="0" collapsed="false">
      <c r="A30" s="8" t="s">
        <v>469</v>
      </c>
      <c r="B30" s="8" t="s">
        <v>470</v>
      </c>
      <c r="C30" s="8" t="s">
        <v>113</v>
      </c>
      <c r="D30" s="8" t="s">
        <v>62</v>
      </c>
      <c r="E30" s="8" t="s">
        <v>215</v>
      </c>
      <c r="F30" s="9" t="s">
        <v>471</v>
      </c>
      <c r="G30" s="8" t="s">
        <v>472</v>
      </c>
      <c r="H30" s="8" t="s">
        <v>473</v>
      </c>
      <c r="I30" s="8" t="s">
        <v>351</v>
      </c>
      <c r="J30" s="8" t="str">
        <f aca="false">IF(OR(I30="Pas de domaine",I30="Non vérifié"),"",IF(I30="Microsoft 365",1,2))</f>
        <v/>
      </c>
    </row>
    <row r="31" customFormat="false" ht="23.25" hidden="false" customHeight="true" outlineLevel="0" collapsed="false">
      <c r="A31" s="8" t="s">
        <v>474</v>
      </c>
      <c r="B31" s="8" t="s">
        <v>475</v>
      </c>
      <c r="C31" s="8" t="s">
        <v>476</v>
      </c>
      <c r="D31" s="8" t="s">
        <v>52</v>
      </c>
      <c r="E31" s="8" t="s">
        <v>477</v>
      </c>
      <c r="F31" s="9" t="s">
        <v>478</v>
      </c>
      <c r="G31" s="8" t="s">
        <v>479</v>
      </c>
      <c r="H31" s="8" t="s">
        <v>480</v>
      </c>
      <c r="I31" s="8" t="s">
        <v>351</v>
      </c>
      <c r="J31" s="8" t="str">
        <f aca="false">IF(OR(I31="Pas de domaine",I31="Non vérifié"),"",IF(I31="Microsoft 365",1,2))</f>
        <v/>
      </c>
    </row>
    <row r="32" customFormat="false" ht="15" hidden="false" customHeight="true" outlineLevel="0" collapsed="false">
      <c r="A32" s="8" t="s">
        <v>481</v>
      </c>
      <c r="B32" s="8" t="s">
        <v>482</v>
      </c>
      <c r="C32" s="8" t="s">
        <v>76</v>
      </c>
      <c r="D32" s="8" t="s">
        <v>62</v>
      </c>
      <c r="E32" s="8" t="s">
        <v>483</v>
      </c>
      <c r="F32" s="9" t="s">
        <v>484</v>
      </c>
      <c r="G32" s="8"/>
      <c r="H32" s="8" t="s">
        <v>485</v>
      </c>
      <c r="I32" s="8" t="s">
        <v>351</v>
      </c>
      <c r="J32" s="8" t="str">
        <f aca="false">IF(OR(I32="Pas de domaine",I32="Non vérifié"),"",IF(I32="Microsoft 365",1,2))</f>
        <v/>
      </c>
    </row>
    <row r="33" customFormat="false" ht="15" hidden="false" customHeight="true" outlineLevel="0" collapsed="false">
      <c r="A33" s="8" t="s">
        <v>486</v>
      </c>
      <c r="B33" s="8" t="s">
        <v>487</v>
      </c>
      <c r="C33" s="8" t="s">
        <v>273</v>
      </c>
      <c r="D33" s="8" t="s">
        <v>52</v>
      </c>
      <c r="E33" s="8" t="s">
        <v>120</v>
      </c>
      <c r="F33" s="9" t="s">
        <v>488</v>
      </c>
      <c r="G33" s="8" t="s">
        <v>489</v>
      </c>
      <c r="H33" s="8" t="s">
        <v>490</v>
      </c>
      <c r="I33" s="8" t="s">
        <v>351</v>
      </c>
      <c r="J33" s="8" t="str">
        <f aca="false">IF(OR(I33="Pas de domaine",I33="Non vérifié"),"",IF(I33="Microsoft 365",1,2))</f>
        <v/>
      </c>
    </row>
    <row r="34" customFormat="false" ht="34.5" hidden="false" customHeight="true" outlineLevel="0" collapsed="false">
      <c r="A34" s="8" t="s">
        <v>491</v>
      </c>
      <c r="B34" s="8" t="s">
        <v>492</v>
      </c>
      <c r="C34" s="8" t="s">
        <v>493</v>
      </c>
      <c r="D34" s="8" t="s">
        <v>52</v>
      </c>
      <c r="E34" s="8" t="s">
        <v>477</v>
      </c>
      <c r="F34" s="8" t="s">
        <v>494</v>
      </c>
      <c r="G34" s="8" t="s">
        <v>495</v>
      </c>
      <c r="H34" s="8" t="s">
        <v>494</v>
      </c>
      <c r="I34" s="8" t="s">
        <v>496</v>
      </c>
      <c r="J34" s="8" t="str">
        <f aca="false">IF(OR(I34="Pas de domaine",I34="Non vérifié"),"",IF(I34="Microsoft 365",1,2))</f>
        <v/>
      </c>
    </row>
    <row r="35" customFormat="false" ht="23.25" hidden="false" customHeight="true" outlineLevel="0" collapsed="false">
      <c r="A35" s="8" t="s">
        <v>497</v>
      </c>
      <c r="B35" s="8" t="s">
        <v>498</v>
      </c>
      <c r="C35" s="8" t="s">
        <v>499</v>
      </c>
      <c r="D35" s="8" t="s">
        <v>62</v>
      </c>
      <c r="E35" s="8" t="s">
        <v>120</v>
      </c>
      <c r="F35" s="9" t="s">
        <v>500</v>
      </c>
      <c r="G35" s="8"/>
      <c r="H35" s="8" t="s">
        <v>501</v>
      </c>
      <c r="I35" s="8" t="s">
        <v>351</v>
      </c>
      <c r="J35" s="8" t="str">
        <f aca="false">IF(OR(I35="Pas de domaine",I35="Non vérifié"),"",IF(I35="Microsoft 365",1,2))</f>
        <v/>
      </c>
    </row>
    <row r="36" customFormat="false" ht="23.25" hidden="false" customHeight="true" outlineLevel="0" collapsed="false">
      <c r="A36" s="8" t="s">
        <v>502</v>
      </c>
      <c r="B36" s="8" t="s">
        <v>503</v>
      </c>
      <c r="C36" s="8" t="s">
        <v>143</v>
      </c>
      <c r="D36" s="8" t="s">
        <v>52</v>
      </c>
      <c r="E36" s="8" t="s">
        <v>120</v>
      </c>
      <c r="F36" s="9" t="s">
        <v>504</v>
      </c>
      <c r="G36" s="8"/>
      <c r="H36" s="8" t="s">
        <v>505</v>
      </c>
      <c r="I36" s="8" t="s">
        <v>351</v>
      </c>
      <c r="J36" s="8" t="str">
        <f aca="false">IF(OR(I36="Pas de domaine",I36="Non vérifié"),"",IF(I36="Microsoft 365",1,2))</f>
        <v/>
      </c>
    </row>
    <row r="37" customFormat="false" ht="23.25" hidden="false" customHeight="true" outlineLevel="0" collapsed="false">
      <c r="A37" s="8" t="s">
        <v>506</v>
      </c>
      <c r="B37" s="8" t="s">
        <v>507</v>
      </c>
      <c r="C37" s="8" t="s">
        <v>51</v>
      </c>
      <c r="D37" s="8" t="s">
        <v>52</v>
      </c>
      <c r="E37" s="8" t="s">
        <v>89</v>
      </c>
      <c r="F37" s="9" t="s">
        <v>508</v>
      </c>
      <c r="G37" s="8" t="s">
        <v>509</v>
      </c>
      <c r="H37" s="8" t="s">
        <v>510</v>
      </c>
      <c r="I37" s="8" t="s">
        <v>351</v>
      </c>
      <c r="J37" s="8" t="str">
        <f aca="false">IF(OR(I37="Pas de domaine",I37="Non vérifié"),"",IF(I37="Microsoft 365",1,2))</f>
        <v/>
      </c>
    </row>
    <row r="38" customFormat="false" ht="23.25" hidden="false" customHeight="true" outlineLevel="0" collapsed="false">
      <c r="A38" s="8" t="s">
        <v>511</v>
      </c>
      <c r="B38" s="8" t="s">
        <v>512</v>
      </c>
      <c r="C38" s="8" t="s">
        <v>61</v>
      </c>
      <c r="D38" s="8" t="s">
        <v>52</v>
      </c>
      <c r="E38" s="8" t="s">
        <v>53</v>
      </c>
      <c r="F38" s="9" t="s">
        <v>513</v>
      </c>
      <c r="G38" s="8" t="s">
        <v>514</v>
      </c>
      <c r="H38" s="8" t="s">
        <v>515</v>
      </c>
      <c r="I38" s="8" t="s">
        <v>351</v>
      </c>
      <c r="J38" s="8" t="str">
        <f aca="false">IF(OR(I38="Pas de domaine",I38="Non vérifié"),"",IF(I38="Microsoft 365",1,2))</f>
        <v/>
      </c>
    </row>
    <row r="39" customFormat="false" ht="23.25" hidden="false" customHeight="true" outlineLevel="0" collapsed="false">
      <c r="A39" s="8" t="s">
        <v>516</v>
      </c>
      <c r="B39" s="8" t="s">
        <v>517</v>
      </c>
      <c r="C39" s="8" t="s">
        <v>83</v>
      </c>
      <c r="D39" s="8" t="s">
        <v>62</v>
      </c>
      <c r="E39" s="8" t="s">
        <v>215</v>
      </c>
      <c r="F39" s="9" t="s">
        <v>518</v>
      </c>
      <c r="G39" s="8"/>
      <c r="H39" s="8" t="s">
        <v>386</v>
      </c>
      <c r="I39" s="8" t="s">
        <v>351</v>
      </c>
      <c r="J39" s="8" t="str">
        <f aca="false">IF(OR(I39="Pas de domaine",I39="Non vérifié"),"",IF(I39="Microsoft 365",1,2))</f>
        <v/>
      </c>
    </row>
    <row r="40" customFormat="false" ht="15" hidden="false" customHeight="true" outlineLevel="0" collapsed="false">
      <c r="A40" s="8" t="s">
        <v>519</v>
      </c>
      <c r="B40" s="8" t="s">
        <v>520</v>
      </c>
      <c r="C40" s="8" t="s">
        <v>246</v>
      </c>
      <c r="D40" s="8" t="s">
        <v>62</v>
      </c>
      <c r="E40" s="8" t="s">
        <v>120</v>
      </c>
      <c r="F40" s="9" t="s">
        <v>521</v>
      </c>
      <c r="G40" s="8"/>
      <c r="H40" s="8" t="s">
        <v>522</v>
      </c>
      <c r="I40" s="8" t="s">
        <v>351</v>
      </c>
      <c r="J40" s="8" t="str">
        <f aca="false">IF(OR(I40="Pas de domaine",I40="Non vérifié"),"",IF(I40="Microsoft 365",1,2))</f>
        <v/>
      </c>
    </row>
    <row r="41" customFormat="false" ht="15" hidden="false" customHeight="true" outlineLevel="0" collapsed="false">
      <c r="A41" s="8" t="s">
        <v>523</v>
      </c>
      <c r="B41" s="8" t="s">
        <v>524</v>
      </c>
      <c r="C41" s="8" t="s">
        <v>106</v>
      </c>
      <c r="D41" s="8" t="s">
        <v>62</v>
      </c>
      <c r="E41" s="8" t="s">
        <v>525</v>
      </c>
      <c r="F41" s="9" t="s">
        <v>526</v>
      </c>
      <c r="G41" s="8" t="s">
        <v>527</v>
      </c>
      <c r="H41" s="8" t="s">
        <v>528</v>
      </c>
      <c r="I41" s="8" t="s">
        <v>351</v>
      </c>
      <c r="J41" s="8" t="str">
        <f aca="false">IF(OR(I41="Pas de domaine",I41="Non vérifié"),"",IF(I41="Microsoft 365",1,2))</f>
        <v/>
      </c>
    </row>
    <row r="42" customFormat="false" ht="23.25" hidden="false" customHeight="true" outlineLevel="0" collapsed="false">
      <c r="A42" s="8" t="s">
        <v>529</v>
      </c>
      <c r="B42" s="8" t="s">
        <v>530</v>
      </c>
      <c r="C42" s="8" t="s">
        <v>113</v>
      </c>
      <c r="D42" s="8" t="s">
        <v>52</v>
      </c>
      <c r="E42" s="8" t="s">
        <v>483</v>
      </c>
      <c r="F42" s="9" t="s">
        <v>531</v>
      </c>
      <c r="G42" s="8" t="s">
        <v>532</v>
      </c>
      <c r="H42" s="8" t="s">
        <v>533</v>
      </c>
      <c r="I42" s="8" t="s">
        <v>351</v>
      </c>
      <c r="J42" s="8" t="str">
        <f aca="false">IF(OR(I42="Pas de domaine",I42="Non vérifié"),"",IF(I42="Microsoft 365",1,2))</f>
        <v/>
      </c>
    </row>
    <row r="43" customFormat="false" ht="23.25" hidden="false" customHeight="true" outlineLevel="0" collapsed="false">
      <c r="A43" s="8" t="s">
        <v>534</v>
      </c>
      <c r="B43" s="8" t="s">
        <v>535</v>
      </c>
      <c r="C43" s="8" t="s">
        <v>113</v>
      </c>
      <c r="D43" s="8" t="s">
        <v>52</v>
      </c>
      <c r="E43" s="8" t="s">
        <v>107</v>
      </c>
      <c r="F43" s="9" t="s">
        <v>536</v>
      </c>
      <c r="G43" s="8" t="s">
        <v>537</v>
      </c>
      <c r="H43" s="8" t="s">
        <v>538</v>
      </c>
      <c r="I43" s="8" t="s">
        <v>351</v>
      </c>
      <c r="J43" s="8" t="str">
        <f aca="false">IF(OR(I43="Pas de domaine",I43="Non vérifié"),"",IF(I43="Microsoft 365",1,2))</f>
        <v/>
      </c>
    </row>
    <row r="44" customFormat="false" ht="23.25" hidden="false" customHeight="true" outlineLevel="0" collapsed="false">
      <c r="A44" s="8" t="s">
        <v>539</v>
      </c>
      <c r="B44" s="8" t="s">
        <v>540</v>
      </c>
      <c r="C44" s="8" t="s">
        <v>83</v>
      </c>
      <c r="D44" s="8" t="s">
        <v>52</v>
      </c>
      <c r="E44" s="8" t="s">
        <v>188</v>
      </c>
      <c r="F44" s="8" t="s">
        <v>494</v>
      </c>
      <c r="G44" s="8" t="s">
        <v>541</v>
      </c>
      <c r="H44" s="8" t="s">
        <v>494</v>
      </c>
      <c r="I44" s="8" t="s">
        <v>496</v>
      </c>
      <c r="J44" s="8" t="str">
        <f aca="false">IF(OR(I44="Pas de domaine",I44="Non vérifié"),"",IF(I44="Microsoft 365",1,2))</f>
        <v/>
      </c>
    </row>
    <row r="45" customFormat="false" ht="34.5" hidden="false" customHeight="true" outlineLevel="0" collapsed="false">
      <c r="A45" s="8" t="s">
        <v>542</v>
      </c>
      <c r="B45" s="8" t="s">
        <v>543</v>
      </c>
      <c r="C45" s="8" t="s">
        <v>69</v>
      </c>
      <c r="D45" s="8" t="s">
        <v>62</v>
      </c>
      <c r="E45" s="8" t="s">
        <v>120</v>
      </c>
      <c r="F45" s="8" t="s">
        <v>494</v>
      </c>
      <c r="G45" s="8" t="s">
        <v>544</v>
      </c>
      <c r="H45" s="8" t="s">
        <v>494</v>
      </c>
      <c r="I45" s="8" t="s">
        <v>496</v>
      </c>
      <c r="J45" s="8" t="str">
        <f aca="false">IF(OR(I45="Pas de domaine",I45="Non vérifié"),"",IF(I45="Microsoft 365",1,2))</f>
        <v/>
      </c>
    </row>
    <row r="46" customFormat="false" ht="23.25" hidden="false" customHeight="true" outlineLevel="0" collapsed="false">
      <c r="A46" s="8" t="s">
        <v>545</v>
      </c>
      <c r="B46" s="8" t="s">
        <v>546</v>
      </c>
      <c r="C46" s="8" t="s">
        <v>547</v>
      </c>
      <c r="D46" s="8" t="s">
        <v>52</v>
      </c>
      <c r="E46" s="8" t="s">
        <v>53</v>
      </c>
      <c r="F46" s="9" t="s">
        <v>548</v>
      </c>
      <c r="G46" s="8"/>
      <c r="H46" s="8" t="s">
        <v>549</v>
      </c>
      <c r="I46" s="8" t="s">
        <v>351</v>
      </c>
      <c r="J46" s="8" t="str">
        <f aca="false">IF(OR(I46="Pas de domaine",I46="Non vérifié"),"",IF(I46="Microsoft 365",1,2))</f>
        <v/>
      </c>
    </row>
    <row r="47" customFormat="false" ht="23.25" hidden="false" customHeight="true" outlineLevel="0" collapsed="false">
      <c r="A47" s="8" t="s">
        <v>550</v>
      </c>
      <c r="B47" s="8" t="s">
        <v>551</v>
      </c>
      <c r="C47" s="8" t="s">
        <v>113</v>
      </c>
      <c r="D47" s="8" t="s">
        <v>62</v>
      </c>
      <c r="E47" s="8" t="s">
        <v>176</v>
      </c>
      <c r="F47" s="9" t="s">
        <v>552</v>
      </c>
      <c r="G47" s="8"/>
      <c r="H47" s="8" t="s">
        <v>553</v>
      </c>
      <c r="I47" s="8" t="s">
        <v>351</v>
      </c>
      <c r="J47" s="8" t="str">
        <f aca="false">IF(OR(I47="Pas de domaine",I47="Non vérifié"),"",IF(I47="Microsoft 365",1,2))</f>
        <v/>
      </c>
    </row>
    <row r="48" customFormat="false" ht="23.25" hidden="false" customHeight="true" outlineLevel="0" collapsed="false">
      <c r="A48" s="8" t="s">
        <v>554</v>
      </c>
      <c r="B48" s="8" t="s">
        <v>555</v>
      </c>
      <c r="C48" s="8" t="s">
        <v>499</v>
      </c>
      <c r="D48" s="8" t="s">
        <v>62</v>
      </c>
      <c r="E48" s="8" t="s">
        <v>215</v>
      </c>
      <c r="F48" s="9" t="s">
        <v>556</v>
      </c>
      <c r="G48" s="8"/>
      <c r="H48" s="8" t="s">
        <v>557</v>
      </c>
      <c r="I48" s="8" t="s">
        <v>351</v>
      </c>
      <c r="J48" s="8" t="str">
        <f aca="false">IF(OR(I48="Pas de domaine",I48="Non vérifié"),"",IF(I48="Microsoft 365",1,2))</f>
        <v/>
      </c>
    </row>
    <row r="49" customFormat="false" ht="23.25" hidden="false" customHeight="true" outlineLevel="0" collapsed="false">
      <c r="A49" s="8" t="s">
        <v>558</v>
      </c>
      <c r="B49" s="8" t="s">
        <v>559</v>
      </c>
      <c r="C49" s="8" t="s">
        <v>69</v>
      </c>
      <c r="D49" s="8" t="s">
        <v>52</v>
      </c>
      <c r="E49" s="8" t="s">
        <v>215</v>
      </c>
      <c r="F49" s="9" t="s">
        <v>560</v>
      </c>
      <c r="G49" s="8"/>
      <c r="H49" s="8" t="s">
        <v>561</v>
      </c>
      <c r="I49" s="8" t="s">
        <v>351</v>
      </c>
      <c r="J49" s="8" t="str">
        <f aca="false">IF(OR(I49="Pas de domaine",I49="Non vérifié"),"",IF(I49="Microsoft 365",1,2))</f>
        <v/>
      </c>
    </row>
    <row r="50" customFormat="false" ht="15" hidden="false" customHeight="true" outlineLevel="0" collapsed="false">
      <c r="A50" s="8" t="s">
        <v>562</v>
      </c>
      <c r="B50" s="8" t="s">
        <v>563</v>
      </c>
      <c r="C50" s="8" t="s">
        <v>246</v>
      </c>
      <c r="D50" s="8" t="s">
        <v>62</v>
      </c>
      <c r="E50" s="8" t="s">
        <v>564</v>
      </c>
      <c r="F50" s="9" t="s">
        <v>565</v>
      </c>
      <c r="G50" s="8"/>
      <c r="H50" s="8" t="s">
        <v>566</v>
      </c>
      <c r="I50" s="8" t="s">
        <v>351</v>
      </c>
      <c r="J50" s="8" t="str">
        <f aca="false">IF(OR(I50="Pas de domaine",I50="Non vérifié"),"",IF(I50="Microsoft 365",1,2))</f>
        <v/>
      </c>
    </row>
    <row r="51" customFormat="false" ht="23.25" hidden="false" customHeight="true" outlineLevel="0" collapsed="false">
      <c r="A51" s="8" t="s">
        <v>567</v>
      </c>
      <c r="B51" s="8" t="s">
        <v>568</v>
      </c>
      <c r="C51" s="8" t="s">
        <v>69</v>
      </c>
      <c r="D51" s="8" t="s">
        <v>62</v>
      </c>
      <c r="E51" s="8" t="s">
        <v>77</v>
      </c>
      <c r="F51" s="9" t="s">
        <v>569</v>
      </c>
      <c r="G51" s="8"/>
      <c r="H51" s="8" t="s">
        <v>570</v>
      </c>
      <c r="I51" s="8" t="s">
        <v>351</v>
      </c>
      <c r="J51" s="8" t="str">
        <f aca="false">IF(OR(I51="Pas de domaine",I51="Non vérifié"),"",IF(I51="Microsoft 365",1,2))</f>
        <v/>
      </c>
    </row>
    <row r="52" customFormat="false" ht="23.25" hidden="false" customHeight="true" outlineLevel="0" collapsed="false">
      <c r="A52" s="8" t="s">
        <v>571</v>
      </c>
      <c r="B52" s="8" t="s">
        <v>572</v>
      </c>
      <c r="C52" s="8" t="s">
        <v>51</v>
      </c>
      <c r="D52" s="8" t="s">
        <v>52</v>
      </c>
      <c r="E52" s="8" t="s">
        <v>120</v>
      </c>
      <c r="F52" s="9" t="s">
        <v>573</v>
      </c>
      <c r="G52" s="8" t="s">
        <v>574</v>
      </c>
      <c r="H52" s="8" t="s">
        <v>575</v>
      </c>
      <c r="I52" s="8" t="s">
        <v>351</v>
      </c>
      <c r="J52" s="8" t="str">
        <f aca="false">IF(OR(I52="Pas de domaine",I52="Non vérifié"),"",IF(I52="Microsoft 365",1,2))</f>
        <v/>
      </c>
    </row>
    <row r="53" customFormat="false" ht="23.25" hidden="false" customHeight="true" outlineLevel="0" collapsed="false">
      <c r="A53" s="8" t="s">
        <v>576</v>
      </c>
      <c r="B53" s="8" t="s">
        <v>577</v>
      </c>
      <c r="C53" s="8" t="s">
        <v>499</v>
      </c>
      <c r="D53" s="8" t="s">
        <v>52</v>
      </c>
      <c r="E53" s="8" t="s">
        <v>114</v>
      </c>
      <c r="F53" s="9" t="s">
        <v>578</v>
      </c>
      <c r="G53" s="8"/>
      <c r="H53" s="8" t="s">
        <v>579</v>
      </c>
      <c r="I53" s="8" t="s">
        <v>351</v>
      </c>
      <c r="J53" s="8" t="str">
        <f aca="false">IF(OR(I53="Pas de domaine",I53="Non vérifié"),"",IF(I53="Microsoft 365",1,2))</f>
        <v/>
      </c>
    </row>
    <row r="54" customFormat="false" ht="34.5" hidden="false" customHeight="true" outlineLevel="0" collapsed="false">
      <c r="A54" s="8" t="s">
        <v>580</v>
      </c>
      <c r="B54" s="8" t="s">
        <v>581</v>
      </c>
      <c r="C54" s="8" t="s">
        <v>83</v>
      </c>
      <c r="D54" s="8" t="s">
        <v>62</v>
      </c>
      <c r="E54" s="8" t="s">
        <v>149</v>
      </c>
      <c r="F54" s="9" t="s">
        <v>582</v>
      </c>
      <c r="G54" s="8" t="s">
        <v>583</v>
      </c>
      <c r="H54" s="8" t="s">
        <v>584</v>
      </c>
      <c r="I54" s="8" t="s">
        <v>351</v>
      </c>
      <c r="J54" s="8" t="str">
        <f aca="false">IF(OR(I54="Pas de domaine",I54="Non vérifié"),"",IF(I54="Microsoft 365",1,2))</f>
        <v/>
      </c>
    </row>
    <row r="55" customFormat="false" ht="15" hidden="false" customHeight="true" outlineLevel="0" collapsed="false">
      <c r="A55" s="8" t="s">
        <v>585</v>
      </c>
      <c r="B55" s="8" t="s">
        <v>586</v>
      </c>
      <c r="C55" s="8" t="s">
        <v>76</v>
      </c>
      <c r="D55" s="8" t="s">
        <v>52</v>
      </c>
      <c r="E55" s="8" t="s">
        <v>120</v>
      </c>
      <c r="F55" s="9" t="s">
        <v>587</v>
      </c>
      <c r="G55" s="8"/>
      <c r="H55" s="8" t="s">
        <v>588</v>
      </c>
      <c r="I55" s="8" t="s">
        <v>351</v>
      </c>
      <c r="J55" s="8" t="str">
        <f aca="false">IF(OR(I55="Pas de domaine",I55="Non vérifié"),"",IF(I55="Microsoft 365",1,2))</f>
        <v/>
      </c>
    </row>
    <row r="56" customFormat="false" ht="23.25" hidden="false" customHeight="true" outlineLevel="0" collapsed="false">
      <c r="A56" s="8" t="s">
        <v>589</v>
      </c>
      <c r="B56" s="8" t="s">
        <v>590</v>
      </c>
      <c r="C56" s="8" t="s">
        <v>289</v>
      </c>
      <c r="D56" s="8" t="s">
        <v>62</v>
      </c>
      <c r="E56" s="8" t="s">
        <v>188</v>
      </c>
      <c r="F56" s="9" t="s">
        <v>591</v>
      </c>
      <c r="G56" s="8"/>
      <c r="H56" s="8" t="s">
        <v>592</v>
      </c>
      <c r="I56" s="8" t="s">
        <v>351</v>
      </c>
      <c r="J56" s="8" t="str">
        <f aca="false">IF(OR(I56="Pas de domaine",I56="Non vérifié"),"",IF(I56="Microsoft 365",1,2))</f>
        <v/>
      </c>
    </row>
    <row r="57" customFormat="false" ht="23.25" hidden="false" customHeight="true" outlineLevel="0" collapsed="false">
      <c r="A57" s="8" t="s">
        <v>593</v>
      </c>
      <c r="B57" s="8" t="s">
        <v>594</v>
      </c>
      <c r="C57" s="8" t="s">
        <v>95</v>
      </c>
      <c r="D57" s="8" t="s">
        <v>62</v>
      </c>
      <c r="E57" s="8" t="s">
        <v>120</v>
      </c>
      <c r="F57" s="9" t="s">
        <v>595</v>
      </c>
      <c r="G57" s="8"/>
      <c r="H57" s="8" t="s">
        <v>596</v>
      </c>
      <c r="I57" s="8" t="s">
        <v>351</v>
      </c>
      <c r="J57" s="8" t="str">
        <f aca="false">IF(OR(I57="Pas de domaine",I57="Non vérifié"),"",IF(I57="Microsoft 365",1,2))</f>
        <v/>
      </c>
    </row>
    <row r="58" customFormat="false" ht="23.25" hidden="false" customHeight="true" outlineLevel="0" collapsed="false">
      <c r="A58" s="8" t="s">
        <v>597</v>
      </c>
      <c r="B58" s="8" t="s">
        <v>598</v>
      </c>
      <c r="C58" s="8" t="s">
        <v>106</v>
      </c>
      <c r="D58" s="8" t="s">
        <v>52</v>
      </c>
      <c r="E58" s="8" t="s">
        <v>149</v>
      </c>
      <c r="F58" s="9" t="s">
        <v>599</v>
      </c>
      <c r="G58" s="8"/>
      <c r="H58" s="8" t="s">
        <v>600</v>
      </c>
      <c r="I58" s="8" t="s">
        <v>351</v>
      </c>
      <c r="J58" s="8" t="str">
        <f aca="false">IF(OR(I58="Pas de domaine",I58="Non vérifié"),"",IF(I58="Microsoft 365",1,2))</f>
        <v/>
      </c>
    </row>
    <row r="59" customFormat="false" ht="23.25" hidden="false" customHeight="true" outlineLevel="0" collapsed="false">
      <c r="A59" s="8" t="s">
        <v>601</v>
      </c>
      <c r="B59" s="8" t="s">
        <v>602</v>
      </c>
      <c r="C59" s="8" t="s">
        <v>83</v>
      </c>
      <c r="D59" s="8" t="s">
        <v>52</v>
      </c>
      <c r="E59" s="8" t="s">
        <v>126</v>
      </c>
      <c r="F59" s="9" t="s">
        <v>603</v>
      </c>
      <c r="G59" s="8"/>
      <c r="H59" s="8" t="s">
        <v>604</v>
      </c>
      <c r="I59" s="8" t="s">
        <v>351</v>
      </c>
      <c r="J59" s="8" t="str">
        <f aca="false">IF(OR(I59="Pas de domaine",I59="Non vérifié"),"",IF(I59="Microsoft 365",1,2))</f>
        <v/>
      </c>
    </row>
    <row r="60" customFormat="false" ht="23.25" hidden="false" customHeight="true" outlineLevel="0" collapsed="false">
      <c r="A60" s="8" t="s">
        <v>605</v>
      </c>
      <c r="B60" s="8" t="s">
        <v>606</v>
      </c>
      <c r="C60" s="8" t="s">
        <v>143</v>
      </c>
      <c r="D60" s="8" t="s">
        <v>62</v>
      </c>
      <c r="E60" s="8" t="s">
        <v>188</v>
      </c>
      <c r="F60" s="9" t="s">
        <v>607</v>
      </c>
      <c r="G60" s="8" t="s">
        <v>364</v>
      </c>
      <c r="H60" s="8" t="s">
        <v>608</v>
      </c>
      <c r="I60" s="8" t="s">
        <v>351</v>
      </c>
      <c r="J60" s="8" t="str">
        <f aca="false">IF(OR(I60="Pas de domaine",I60="Non vérifié"),"",IF(I60="Microsoft 365",1,2))</f>
        <v/>
      </c>
    </row>
    <row r="61" customFormat="false" ht="15" hidden="false" customHeight="true" outlineLevel="0" collapsed="false">
      <c r="A61" s="8" t="s">
        <v>609</v>
      </c>
      <c r="B61" s="8" t="s">
        <v>610</v>
      </c>
      <c r="C61" s="8" t="s">
        <v>76</v>
      </c>
      <c r="D61" s="8" t="s">
        <v>52</v>
      </c>
      <c r="E61" s="8" t="s">
        <v>114</v>
      </c>
      <c r="F61" s="9" t="s">
        <v>611</v>
      </c>
      <c r="G61" s="8"/>
      <c r="H61" s="8" t="s">
        <v>612</v>
      </c>
      <c r="I61" s="8" t="s">
        <v>351</v>
      </c>
      <c r="J61" s="8" t="str">
        <f aca="false">IF(OR(I61="Pas de domaine",I61="Non vérifié"),"",IF(I61="Microsoft 365",1,2))</f>
        <v/>
      </c>
    </row>
    <row r="62" customFormat="false" ht="23.25" hidden="false" customHeight="true" outlineLevel="0" collapsed="false">
      <c r="A62" s="8" t="s">
        <v>613</v>
      </c>
      <c r="B62" s="8" t="s">
        <v>614</v>
      </c>
      <c r="C62" s="8" t="s">
        <v>61</v>
      </c>
      <c r="D62" s="8" t="s">
        <v>52</v>
      </c>
      <c r="E62" s="8" t="s">
        <v>215</v>
      </c>
      <c r="F62" s="9" t="s">
        <v>615</v>
      </c>
      <c r="G62" s="8" t="s">
        <v>616</v>
      </c>
      <c r="H62" s="8" t="s">
        <v>617</v>
      </c>
      <c r="I62" s="8" t="s">
        <v>351</v>
      </c>
      <c r="J62" s="8" t="str">
        <f aca="false">IF(OR(I62="Pas de domaine",I62="Non vérifié"),"",IF(I62="Microsoft 365",1,2))</f>
        <v/>
      </c>
    </row>
    <row r="63" customFormat="false" ht="23.25" hidden="false" customHeight="true" outlineLevel="0" collapsed="false">
      <c r="A63" s="8" t="s">
        <v>618</v>
      </c>
      <c r="B63" s="8" t="s">
        <v>619</v>
      </c>
      <c r="C63" s="8" t="s">
        <v>51</v>
      </c>
      <c r="D63" s="8" t="s">
        <v>52</v>
      </c>
      <c r="E63" s="8" t="s">
        <v>188</v>
      </c>
      <c r="F63" s="9" t="s">
        <v>620</v>
      </c>
      <c r="G63" s="8"/>
      <c r="H63" s="8" t="s">
        <v>621</v>
      </c>
      <c r="I63" s="8" t="s">
        <v>351</v>
      </c>
      <c r="J63" s="8" t="str">
        <f aca="false">IF(OR(I63="Pas de domaine",I63="Non vérifié"),"",IF(I63="Microsoft 365",1,2))</f>
        <v/>
      </c>
    </row>
    <row r="64" customFormat="false" ht="23.25" hidden="false" customHeight="true" outlineLevel="0" collapsed="false">
      <c r="A64" s="8" t="s">
        <v>622</v>
      </c>
      <c r="B64" s="8" t="s">
        <v>623</v>
      </c>
      <c r="C64" s="8" t="s">
        <v>624</v>
      </c>
      <c r="D64" s="8" t="s">
        <v>52</v>
      </c>
      <c r="E64" s="8" t="s">
        <v>126</v>
      </c>
      <c r="F64" s="9" t="s">
        <v>625</v>
      </c>
      <c r="G64" s="8"/>
      <c r="H64" s="8" t="s">
        <v>626</v>
      </c>
      <c r="I64" s="8" t="s">
        <v>351</v>
      </c>
      <c r="J64" s="8" t="str">
        <f aca="false">IF(OR(I64="Pas de domaine",I64="Non vérifié"),"",IF(I64="Microsoft 365",1,2))</f>
        <v/>
      </c>
    </row>
    <row r="65" customFormat="false" ht="15" hidden="false" customHeight="true" outlineLevel="0" collapsed="false">
      <c r="A65" s="8" t="s">
        <v>627</v>
      </c>
      <c r="B65" s="8" t="s">
        <v>628</v>
      </c>
      <c r="C65" s="8" t="s">
        <v>61</v>
      </c>
      <c r="D65" s="8" t="s">
        <v>62</v>
      </c>
      <c r="E65" s="8" t="s">
        <v>215</v>
      </c>
      <c r="F65" s="9" t="s">
        <v>629</v>
      </c>
      <c r="G65" s="8"/>
      <c r="H65" s="8" t="s">
        <v>630</v>
      </c>
      <c r="I65" s="8" t="s">
        <v>351</v>
      </c>
      <c r="J65" s="8" t="str">
        <f aca="false">IF(OR(I65="Pas de domaine",I65="Non vérifié"),"",IF(I65="Microsoft 365",1,2))</f>
        <v/>
      </c>
    </row>
    <row r="66" customFormat="false" ht="15" hidden="false" customHeight="true" outlineLevel="0" collapsed="false">
      <c r="A66" s="8" t="s">
        <v>631</v>
      </c>
      <c r="B66" s="8" t="s">
        <v>632</v>
      </c>
      <c r="C66" s="8" t="s">
        <v>106</v>
      </c>
      <c r="D66" s="8" t="s">
        <v>62</v>
      </c>
      <c r="E66" s="8" t="s">
        <v>188</v>
      </c>
      <c r="F66" s="9" t="s">
        <v>633</v>
      </c>
      <c r="G66" s="8"/>
      <c r="H66" s="8" t="s">
        <v>634</v>
      </c>
      <c r="I66" s="8" t="s">
        <v>351</v>
      </c>
      <c r="J66" s="8" t="str">
        <f aca="false">IF(OR(I66="Pas de domaine",I66="Non vérifié"),"",IF(I66="Microsoft 365",1,2))</f>
        <v/>
      </c>
    </row>
    <row r="67" customFormat="false" ht="23.25" hidden="false" customHeight="true" outlineLevel="0" collapsed="false">
      <c r="A67" s="8" t="s">
        <v>635</v>
      </c>
      <c r="B67" s="8" t="s">
        <v>636</v>
      </c>
      <c r="C67" s="8" t="s">
        <v>499</v>
      </c>
      <c r="D67" s="8" t="s">
        <v>62</v>
      </c>
      <c r="E67" s="8" t="s">
        <v>120</v>
      </c>
      <c r="F67" s="9" t="s">
        <v>637</v>
      </c>
      <c r="G67" s="8"/>
      <c r="H67" s="8" t="s">
        <v>638</v>
      </c>
      <c r="I67" s="8" t="s">
        <v>351</v>
      </c>
      <c r="J67" s="8" t="str">
        <f aca="false">IF(OR(I67="Pas de domaine",I67="Non vérifié"),"",IF(I67="Microsoft 365",1,2))</f>
        <v/>
      </c>
    </row>
    <row r="68" customFormat="false" ht="23.25" hidden="false" customHeight="true" outlineLevel="0" collapsed="false">
      <c r="A68" s="8" t="s">
        <v>639</v>
      </c>
      <c r="B68" s="8" t="s">
        <v>640</v>
      </c>
      <c r="C68" s="8" t="s">
        <v>624</v>
      </c>
      <c r="D68" s="8" t="s">
        <v>62</v>
      </c>
      <c r="E68" s="8" t="s">
        <v>120</v>
      </c>
      <c r="F68" s="9" t="s">
        <v>641</v>
      </c>
      <c r="G68" s="8"/>
      <c r="H68" s="8" t="s">
        <v>642</v>
      </c>
      <c r="I68" s="8" t="s">
        <v>351</v>
      </c>
      <c r="J68" s="8" t="str">
        <f aca="false">IF(OR(I68="Pas de domaine",I68="Non vérifié"),"",IF(I68="Microsoft 365",1,2))</f>
        <v/>
      </c>
    </row>
    <row r="69" customFormat="false" ht="23.25" hidden="false" customHeight="true" outlineLevel="0" collapsed="false">
      <c r="A69" s="8" t="s">
        <v>643</v>
      </c>
      <c r="B69" s="8" t="s">
        <v>644</v>
      </c>
      <c r="C69" s="8" t="s">
        <v>113</v>
      </c>
      <c r="D69" s="8" t="s">
        <v>62</v>
      </c>
      <c r="E69" s="8" t="s">
        <v>120</v>
      </c>
      <c r="F69" s="9" t="s">
        <v>645</v>
      </c>
      <c r="G69" s="8"/>
      <c r="H69" s="8" t="s">
        <v>646</v>
      </c>
      <c r="I69" s="8" t="s">
        <v>351</v>
      </c>
      <c r="J69" s="8" t="str">
        <f aca="false">IF(OR(I69="Pas de domaine",I69="Non vérifié"),"",IF(I69="Microsoft 365",1,2))</f>
        <v/>
      </c>
    </row>
    <row r="70" customFormat="false" ht="23.25" hidden="false" customHeight="true" outlineLevel="0" collapsed="false">
      <c r="A70" s="8" t="s">
        <v>647</v>
      </c>
      <c r="B70" s="8" t="s">
        <v>648</v>
      </c>
      <c r="C70" s="8" t="s">
        <v>649</v>
      </c>
      <c r="D70" s="8" t="s">
        <v>52</v>
      </c>
      <c r="E70" s="8" t="s">
        <v>120</v>
      </c>
      <c r="F70" s="9" t="s">
        <v>650</v>
      </c>
      <c r="G70" s="8"/>
      <c r="H70" s="8" t="s">
        <v>651</v>
      </c>
      <c r="I70" s="8" t="s">
        <v>351</v>
      </c>
      <c r="J70" s="8" t="str">
        <f aca="false">IF(OR(I70="Pas de domaine",I70="Non vérifié"),"",IF(I70="Microsoft 365",1,2))</f>
        <v/>
      </c>
    </row>
    <row r="71" customFormat="false" ht="23.25" hidden="false" customHeight="true" outlineLevel="0" collapsed="false">
      <c r="A71" s="8" t="s">
        <v>652</v>
      </c>
      <c r="B71" s="8" t="s">
        <v>653</v>
      </c>
      <c r="C71" s="8" t="s">
        <v>83</v>
      </c>
      <c r="D71" s="8" t="s">
        <v>52</v>
      </c>
      <c r="E71" s="8" t="s">
        <v>215</v>
      </c>
      <c r="F71" s="9" t="s">
        <v>654</v>
      </c>
      <c r="G71" s="8" t="s">
        <v>385</v>
      </c>
      <c r="H71" s="8" t="s">
        <v>386</v>
      </c>
      <c r="I71" s="8" t="s">
        <v>351</v>
      </c>
      <c r="J71" s="8" t="str">
        <f aca="false">IF(OR(I71="Pas de domaine",I71="Non vérifié"),"",IF(I71="Microsoft 365",1,2))</f>
        <v/>
      </c>
    </row>
    <row r="72" customFormat="false" ht="15" hidden="false" customHeight="true" outlineLevel="0" collapsed="false">
      <c r="A72" s="8" t="s">
        <v>655</v>
      </c>
      <c r="B72" s="8" t="s">
        <v>656</v>
      </c>
      <c r="C72" s="8" t="s">
        <v>246</v>
      </c>
      <c r="D72" s="8" t="s">
        <v>52</v>
      </c>
      <c r="E72" s="8" t="s">
        <v>70</v>
      </c>
      <c r="F72" s="9" t="s">
        <v>657</v>
      </c>
      <c r="G72" s="8"/>
      <c r="H72" s="8" t="s">
        <v>658</v>
      </c>
      <c r="I72" s="8" t="s">
        <v>351</v>
      </c>
      <c r="J72" s="8" t="str">
        <f aca="false">IF(OR(I72="Pas de domaine",I72="Non vérifié"),"",IF(I72="Microsoft 365",1,2))</f>
        <v/>
      </c>
    </row>
    <row r="73" customFormat="false" ht="23.25" hidden="false" customHeight="true" outlineLevel="0" collapsed="false">
      <c r="A73" s="8" t="s">
        <v>659</v>
      </c>
      <c r="B73" s="8" t="s">
        <v>660</v>
      </c>
      <c r="C73" s="8" t="s">
        <v>113</v>
      </c>
      <c r="D73" s="8" t="s">
        <v>62</v>
      </c>
      <c r="E73" s="8" t="s">
        <v>114</v>
      </c>
      <c r="F73" s="9" t="s">
        <v>661</v>
      </c>
      <c r="G73" s="8"/>
      <c r="H73" s="8" t="s">
        <v>662</v>
      </c>
      <c r="I73" s="8" t="s">
        <v>351</v>
      </c>
      <c r="J73" s="8" t="str">
        <f aca="false">IF(OR(I73="Pas de domaine",I73="Non vérifié"),"",IF(I73="Microsoft 365",1,2))</f>
        <v/>
      </c>
    </row>
    <row r="74" customFormat="false" ht="23.25" hidden="false" customHeight="true" outlineLevel="0" collapsed="false">
      <c r="A74" s="8" t="s">
        <v>663</v>
      </c>
      <c r="B74" s="8" t="s">
        <v>664</v>
      </c>
      <c r="C74" s="8" t="s">
        <v>83</v>
      </c>
      <c r="D74" s="8" t="s">
        <v>52</v>
      </c>
      <c r="E74" s="8" t="s">
        <v>188</v>
      </c>
      <c r="F74" s="9" t="s">
        <v>665</v>
      </c>
      <c r="G74" s="8"/>
      <c r="H74" s="8" t="s">
        <v>666</v>
      </c>
      <c r="I74" s="8" t="s">
        <v>351</v>
      </c>
      <c r="J74" s="8" t="str">
        <f aca="false">IF(OR(I74="Pas de domaine",I74="Non vérifié"),"",IF(I74="Microsoft 365",1,2))</f>
        <v/>
      </c>
    </row>
    <row r="75" customFormat="false" ht="23.25" hidden="false" customHeight="true" outlineLevel="0" collapsed="false">
      <c r="A75" s="8" t="s">
        <v>667</v>
      </c>
      <c r="B75" s="8" t="s">
        <v>668</v>
      </c>
      <c r="C75" s="8" t="s">
        <v>69</v>
      </c>
      <c r="D75" s="8" t="s">
        <v>52</v>
      </c>
      <c r="E75" s="8" t="s">
        <v>669</v>
      </c>
      <c r="F75" s="9" t="s">
        <v>670</v>
      </c>
      <c r="G75" s="8"/>
      <c r="H75" s="8" t="s">
        <v>671</v>
      </c>
      <c r="I75" s="8" t="s">
        <v>351</v>
      </c>
      <c r="J75" s="8" t="str">
        <f aca="false">IF(OR(I75="Pas de domaine",I75="Non vérifié"),"",IF(I75="Microsoft 365",1,2))</f>
        <v/>
      </c>
    </row>
    <row r="77" customFormat="false" ht="15" hidden="false" customHeight="false" outlineLevel="0" collapsed="false">
      <c r="A77" s="11" t="s">
        <v>48</v>
      </c>
    </row>
    <row r="78" customFormat="false" ht="15" hidden="false" customHeight="false" outlineLevel="0" collapsed="false">
      <c r="A78" s="12" t="s">
        <v>672</v>
      </c>
    </row>
    <row r="79" customFormat="false" ht="15" hidden="false" customHeight="false" outlineLevel="0" collapsed="false">
      <c r="A79" s="12" t="s">
        <v>673</v>
      </c>
    </row>
    <row r="80" customFormat="false" ht="15" hidden="false" customHeight="false" outlineLevel="0" collapsed="false">
      <c r="A80" s="12" t="s">
        <v>674</v>
      </c>
    </row>
  </sheetData>
  <autoFilter ref="A1:J75"/>
  <hyperlinks>
    <hyperlink ref="F2" r:id="rId1" display="http://2cexpertises.com/"/>
    <hyperlink ref="F3" r:id="rId2" display="https://www.acer-creation.fr/"/>
    <hyperlink ref="F4" r:id="rId3" display="https://www.afb33-peinture.fr/"/>
    <hyperlink ref="F5" r:id="rId4" display="http://www.climatisation-chauffage-33.com/"/>
    <hyperlink ref="F6" r:id="rId5" display="https://www.asheurope.com/"/>
    <hyperlink ref="F7" r:id="rId6" display="https://www.aquitaine-asc.fr/"/>
    <hyperlink ref="F8" r:id="rId7" display="https://archenergie.fr/"/>
    <hyperlink ref="F9" r:id="rId8" display="https://arthea-sas.fr/"/>
    <hyperlink ref="F10" r:id="rId9" display="https://www.jsd-groupe.com/atelier-co/"/>
    <hyperlink ref="F11" r:id="rId10" display="https://www.atlasdemolition.fr/"/>
    <hyperlink ref="F12" r:id="rId11" display="https://sasb2c.com/"/>
    <hyperlink ref="F13" r:id="rId12" display="https://www.bmix.fr/"/>
    <hyperlink ref="F14" r:id="rId13" display="https://www.bat-sm.com/"/>
    <hyperlink ref="F15" r:id="rId14" display="https://bois-concept-m.fr/"/>
    <hyperlink ref="F16" r:id="rId15" display="http://www.bomas-construction.com/"/>
    <hyperlink ref="F17" r:id="rId16" display="https://www.bonnet-etancheite.com/"/>
    <hyperlink ref="F18" r:id="rId17" display="https://www.bordeaux-fermeture.fr/"/>
    <hyperlink ref="F19" r:id="rId18" display="https://www.comby.fr/"/>
    <hyperlink ref="F20" r:id="rId19" display="https://expertys-metropole.com/"/>
    <hyperlink ref="F21" r:id="rId20" display="https://www.cabinet-mandin.fr/"/>
    <hyperlink ref="F22" r:id="rId21" display="http://construcoesjoses.com/"/>
    <hyperlink ref="F23" r:id="rId22" display="https://www.culturecomptable.com/"/>
    <hyperlink ref="F24" r:id="rId23" display="https://ed-energy.fr/"/>
    <hyperlink ref="F25" r:id="rId24" display="https://electro-gaz.fr/"/>
    <hyperlink ref="F26" r:id="rId25" display="https://baroumes.fr/"/>
    <hyperlink ref="F27" r:id="rId26" display="https://www.lesateliersduphil.net/"/>
    <hyperlink ref="F28" r:id="rId27" display="https://allyre.com/"/>
    <hyperlink ref="F29" r:id="rId28" display="https://www.espaces-couleurs.fr/"/>
    <hyperlink ref="F30" r:id="rId29" display="https://www.cimea.fr/eveaa/"/>
    <hyperlink ref="F31" r:id="rId30" display="https://www.fradin-promotion.fr/"/>
    <hyperlink ref="F32" r:id="rId31" display="https://www.garance-couverture.fr/"/>
    <hyperlink ref="F33" r:id="rId32" display="https://www.gerfa.fr/"/>
    <hyperlink ref="F35" r:id="rId33" display="https://harribeyconstructions.fr/"/>
    <hyperlink ref="F36" r:id="rId34" display="https://hdms33.fr/"/>
    <hyperlink ref="F37" r:id="rId35" display="https://ilexascenseurs.com/agences/ilex-aquitaine/"/>
    <hyperlink ref="F38" r:id="rId36" display="https://www.groupedemonchy.fr/"/>
    <hyperlink ref="F39" r:id="rId37" display="https://www.jsd-groupe.com/jsd-entreprise/"/>
    <hyperlink ref="F40" r:id="rId38" display="https://julienlavoinecharpentiers.com/"/>
    <hyperlink ref="F41" r:id="rId39" display="https://k-pax.fr/"/>
    <hyperlink ref="F42" r:id="rId40" display="https://www.k2energies.com/"/>
    <hyperlink ref="F43" r:id="rId41" display="https://kalitec.fr/"/>
    <hyperlink ref="F46" r:id="rId42" display="https://www.legua-bati.fr/"/>
    <hyperlink ref="F47" r:id="rId43" display="https://www.lejeuneentreprise.fr/"/>
    <hyperlink ref="F48" r:id="rId44" display="https://www.martin-monteils.fr/"/>
    <hyperlink ref="F49" r:id="rId45" display="https://www.martinmenuiseries.net/"/>
    <hyperlink ref="F50" r:id="rId46" display="https://www.mceperchalec.com/"/>
    <hyperlink ref="F51" r:id="rId47" display="https://www.mondialmenuiseries.fr/"/>
    <hyperlink ref="F52" r:id="rId48" display="https://opna.fr/"/>
    <hyperlink ref="F53" r:id="rId49" display="https://www.quanthic-ocean.com/"/>
    <hyperlink ref="F54" r:id="rId50" display="https://www.rdmb-construction.fr/"/>
    <hyperlink ref="F55" r:id="rId51" display="https://renosystemes.com/"/>
    <hyperlink ref="F56" r:id="rId52" display="https://www.rpi33.fr/"/>
    <hyperlink ref="F57" r:id="rId53" display="https://www.rtso.fr/"/>
    <hyperlink ref="F58" r:id="rId54" display="https://www.sappeinture.fr/"/>
    <hyperlink ref="F59" r:id="rId55" display="https://www.foerstnerfreres.com/"/>
    <hyperlink ref="F60" r:id="rId56" display="https://www.constructions-metalliques-bordeaux.com"/>
    <hyperlink ref="F61" r:id="rId57" display="https://www.ccclaverie.com/"/>
    <hyperlink ref="F62" r:id="rId58" display="https://sefcoentreprises.wixsite.com/sefcoentreprises"/>
    <hyperlink ref="F63" r:id="rId59" display="https://www.servisun-bordeaux.com/"/>
    <hyperlink ref="F64" r:id="rId60" display="https://www.signalax-marquage-signalisation.fr/"/>
    <hyperlink ref="F65" r:id="rId61" display="https://www.soditel.fr/"/>
    <hyperlink ref="F66" r:id="rId62" display="http://www.sopego.com/"/>
    <hyperlink ref="F67" r:id="rId63" display="https://www.sorreba-technologie.fr/"/>
    <hyperlink ref="F68" r:id="rId64" display="https://sudouestpavage.fr/"/>
    <hyperlink ref="F69" r:id="rId65" display="https://www.sungreen.fr/"/>
    <hyperlink ref="F70" r:id="rId66" display="https://techsun-wscompany.fr/"/>
    <hyperlink ref="F71" r:id="rId67" display="https://www.jsd-groupe.com/tonel/"/>
    <hyperlink ref="F72" r:id="rId68" display="https://www.travauxaquitains.com/"/>
    <hyperlink ref="F73" r:id="rId69" display="https://www.ufa-genieclimatique.com/"/>
    <hyperlink ref="F74" r:id="rId70" display="https://www.vintageconstruction.fr/"/>
    <hyperlink ref="F75" r:id="rId71" display="https://www.windoor-performances.fr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2"/>
    <col collapsed="false" customWidth="true" hidden="false" outlineLevel="0" max="3" min="3" style="1" width="30"/>
    <col collapsed="false" customWidth="true" hidden="false" outlineLevel="0" max="4" min="4" style="1" width="9"/>
    <col collapsed="false" customWidth="true" hidden="false" outlineLevel="0" max="6" min="5" style="1" width="22"/>
    <col collapsed="false" customWidth="true" hidden="false" outlineLevel="0" max="7" min="7" style="1" width="45"/>
  </cols>
  <sheetData>
    <row r="1" customFormat="false" ht="30" hidden="false" customHeight="true" outlineLevel="0" collapsed="false">
      <c r="A1" s="7" t="s">
        <v>37</v>
      </c>
      <c r="B1" s="7" t="s">
        <v>38</v>
      </c>
      <c r="C1" s="7" t="s">
        <v>39</v>
      </c>
      <c r="D1" s="7" t="s">
        <v>12</v>
      </c>
      <c r="E1" s="7" t="s">
        <v>40</v>
      </c>
      <c r="F1" s="7" t="s">
        <v>44</v>
      </c>
      <c r="G1" s="7" t="s">
        <v>675</v>
      </c>
    </row>
    <row r="2" customFormat="false" ht="34.5" hidden="false" customHeight="true" outlineLevel="0" collapsed="false">
      <c r="A2" s="8" t="s">
        <v>676</v>
      </c>
      <c r="B2" s="8" t="s">
        <v>677</v>
      </c>
      <c r="C2" s="8" t="s">
        <v>678</v>
      </c>
      <c r="D2" s="8" t="s">
        <v>62</v>
      </c>
      <c r="E2" s="8" t="s">
        <v>188</v>
      </c>
      <c r="F2" s="9" t="s">
        <v>679</v>
      </c>
      <c r="G2" s="8" t="s">
        <v>680</v>
      </c>
    </row>
    <row r="3" customFormat="false" ht="23.25" hidden="false" customHeight="true" outlineLevel="0" collapsed="false">
      <c r="A3" s="8" t="s">
        <v>681</v>
      </c>
      <c r="B3" s="8" t="s">
        <v>682</v>
      </c>
      <c r="C3" s="8" t="s">
        <v>160</v>
      </c>
      <c r="D3" s="8" t="s">
        <v>52</v>
      </c>
      <c r="E3" s="8" t="s">
        <v>120</v>
      </c>
      <c r="F3" s="9" t="s">
        <v>683</v>
      </c>
      <c r="G3" s="8" t="s">
        <v>684</v>
      </c>
    </row>
    <row r="4" customFormat="false" ht="23.25" hidden="false" customHeight="true" outlineLevel="0" collapsed="false">
      <c r="A4" s="8" t="s">
        <v>685</v>
      </c>
      <c r="B4" s="8" t="s">
        <v>686</v>
      </c>
      <c r="C4" s="8" t="s">
        <v>306</v>
      </c>
      <c r="D4" s="8" t="s">
        <v>62</v>
      </c>
      <c r="E4" s="8" t="s">
        <v>188</v>
      </c>
      <c r="F4" s="9" t="s">
        <v>687</v>
      </c>
      <c r="G4" s="8" t="s">
        <v>680</v>
      </c>
    </row>
    <row r="5" customFormat="false" ht="23.25" hidden="false" customHeight="true" outlineLevel="0" collapsed="false">
      <c r="A5" s="8" t="s">
        <v>688</v>
      </c>
      <c r="B5" s="8" t="s">
        <v>689</v>
      </c>
      <c r="C5" s="8" t="s">
        <v>649</v>
      </c>
      <c r="D5" s="8" t="s">
        <v>52</v>
      </c>
      <c r="E5" s="8" t="s">
        <v>188</v>
      </c>
      <c r="F5" s="9" t="s">
        <v>690</v>
      </c>
      <c r="G5" s="8" t="s">
        <v>684</v>
      </c>
    </row>
    <row r="6" customFormat="false" ht="23.25" hidden="false" customHeight="true" outlineLevel="0" collapsed="false">
      <c r="A6" s="8" t="s">
        <v>691</v>
      </c>
      <c r="B6" s="8" t="s">
        <v>692</v>
      </c>
      <c r="C6" s="8" t="s">
        <v>476</v>
      </c>
      <c r="D6" s="8" t="s">
        <v>52</v>
      </c>
      <c r="E6" s="8" t="s">
        <v>176</v>
      </c>
      <c r="F6" s="9" t="s">
        <v>693</v>
      </c>
      <c r="G6" s="8" t="s">
        <v>684</v>
      </c>
    </row>
    <row r="7" customFormat="false" ht="23.25" hidden="false" customHeight="true" outlineLevel="0" collapsed="false">
      <c r="A7" s="8" t="s">
        <v>694</v>
      </c>
      <c r="B7" s="8" t="s">
        <v>695</v>
      </c>
      <c r="C7" s="8" t="s">
        <v>95</v>
      </c>
      <c r="D7" s="8" t="s">
        <v>52</v>
      </c>
      <c r="E7" s="8" t="s">
        <v>176</v>
      </c>
      <c r="F7" s="9" t="s">
        <v>696</v>
      </c>
      <c r="G7" s="8" t="s">
        <v>684</v>
      </c>
    </row>
    <row r="8" customFormat="false" ht="23.25" hidden="false" customHeight="true" outlineLevel="0" collapsed="false">
      <c r="A8" s="8" t="s">
        <v>697</v>
      </c>
      <c r="B8" s="8" t="s">
        <v>698</v>
      </c>
      <c r="C8" s="8" t="s">
        <v>699</v>
      </c>
      <c r="D8" s="8" t="s">
        <v>52</v>
      </c>
      <c r="E8" s="8" t="s">
        <v>188</v>
      </c>
      <c r="F8" s="9" t="s">
        <v>700</v>
      </c>
      <c r="G8" s="8" t="s">
        <v>701</v>
      </c>
    </row>
    <row r="9" customFormat="false" ht="15" hidden="false" customHeight="true" outlineLevel="0" collapsed="false">
      <c r="A9" s="8" t="s">
        <v>702</v>
      </c>
      <c r="B9" s="8" t="s">
        <v>703</v>
      </c>
      <c r="C9" s="8" t="s">
        <v>106</v>
      </c>
      <c r="D9" s="8" t="s">
        <v>52</v>
      </c>
      <c r="E9" s="8" t="s">
        <v>188</v>
      </c>
      <c r="F9" s="9" t="s">
        <v>704</v>
      </c>
      <c r="G9" s="8" t="s">
        <v>705</v>
      </c>
    </row>
    <row r="10" customFormat="false" ht="23.25" hidden="false" customHeight="true" outlineLevel="0" collapsed="false">
      <c r="A10" s="8" t="s">
        <v>706</v>
      </c>
      <c r="B10" s="8" t="s">
        <v>707</v>
      </c>
      <c r="C10" s="8" t="s">
        <v>143</v>
      </c>
      <c r="D10" s="8" t="s">
        <v>52</v>
      </c>
      <c r="E10" s="8" t="s">
        <v>120</v>
      </c>
      <c r="F10" s="9" t="s">
        <v>708</v>
      </c>
      <c r="G10" s="8" t="s">
        <v>684</v>
      </c>
    </row>
    <row r="11" customFormat="false" ht="23.25" hidden="false" customHeight="true" outlineLevel="0" collapsed="false">
      <c r="A11" s="8" t="s">
        <v>709</v>
      </c>
      <c r="B11" s="8" t="s">
        <v>710</v>
      </c>
      <c r="C11" s="8" t="s">
        <v>306</v>
      </c>
      <c r="D11" s="8" t="s">
        <v>62</v>
      </c>
      <c r="E11" s="8" t="s">
        <v>120</v>
      </c>
      <c r="F11" s="9" t="s">
        <v>711</v>
      </c>
      <c r="G11" s="8" t="s">
        <v>680</v>
      </c>
    </row>
    <row r="12" customFormat="false" ht="23.25" hidden="false" customHeight="true" outlineLevel="0" collapsed="false">
      <c r="A12" s="8" t="s">
        <v>712</v>
      </c>
      <c r="B12" s="8" t="s">
        <v>713</v>
      </c>
      <c r="C12" s="8" t="s">
        <v>76</v>
      </c>
      <c r="D12" s="8" t="s">
        <v>52</v>
      </c>
      <c r="E12" s="8" t="s">
        <v>188</v>
      </c>
      <c r="F12" s="9" t="s">
        <v>714</v>
      </c>
      <c r="G12" s="8" t="s">
        <v>684</v>
      </c>
    </row>
    <row r="13" customFormat="false" ht="23.25" hidden="false" customHeight="true" outlineLevel="0" collapsed="false">
      <c r="A13" s="8" t="s">
        <v>715</v>
      </c>
      <c r="B13" s="8" t="s">
        <v>716</v>
      </c>
      <c r="C13" s="8" t="s">
        <v>306</v>
      </c>
      <c r="D13" s="8" t="s">
        <v>62</v>
      </c>
      <c r="E13" s="8" t="s">
        <v>120</v>
      </c>
      <c r="F13" s="9" t="s">
        <v>717</v>
      </c>
      <c r="G13" s="8" t="s">
        <v>680</v>
      </c>
    </row>
    <row r="14" customFormat="false" ht="23.25" hidden="false" customHeight="true" outlineLevel="0" collapsed="false">
      <c r="A14" s="8" t="s">
        <v>718</v>
      </c>
      <c r="B14" s="8" t="s">
        <v>719</v>
      </c>
      <c r="C14" s="8" t="s">
        <v>61</v>
      </c>
      <c r="D14" s="8" t="s">
        <v>62</v>
      </c>
      <c r="E14" s="8" t="s">
        <v>215</v>
      </c>
      <c r="F14" s="9" t="s">
        <v>720</v>
      </c>
      <c r="G14" s="8" t="s">
        <v>684</v>
      </c>
    </row>
    <row r="15" customFormat="false" ht="23.25" hidden="false" customHeight="true" outlineLevel="0" collapsed="false">
      <c r="A15" s="8" t="s">
        <v>721</v>
      </c>
      <c r="B15" s="8" t="s">
        <v>722</v>
      </c>
      <c r="C15" s="8" t="s">
        <v>83</v>
      </c>
      <c r="D15" s="8" t="s">
        <v>62</v>
      </c>
      <c r="E15" s="8" t="s">
        <v>120</v>
      </c>
      <c r="F15" s="9" t="s">
        <v>723</v>
      </c>
      <c r="G15" s="8" t="s">
        <v>684</v>
      </c>
    </row>
    <row r="16" customFormat="false" ht="23.25" hidden="false" customHeight="true" outlineLevel="0" collapsed="false">
      <c r="A16" s="8" t="s">
        <v>724</v>
      </c>
      <c r="B16" s="8" t="s">
        <v>725</v>
      </c>
      <c r="C16" s="8" t="s">
        <v>726</v>
      </c>
      <c r="D16" s="8" t="s">
        <v>52</v>
      </c>
      <c r="E16" s="8" t="s">
        <v>120</v>
      </c>
      <c r="F16" s="9" t="s">
        <v>727</v>
      </c>
      <c r="G16" s="8" t="s">
        <v>684</v>
      </c>
    </row>
    <row r="17" customFormat="false" ht="23.25" hidden="false" customHeight="true" outlineLevel="0" collapsed="false">
      <c r="A17" s="8" t="s">
        <v>728</v>
      </c>
      <c r="B17" s="8" t="s">
        <v>729</v>
      </c>
      <c r="C17" s="8" t="s">
        <v>106</v>
      </c>
      <c r="D17" s="8" t="s">
        <v>62</v>
      </c>
      <c r="E17" s="8" t="s">
        <v>188</v>
      </c>
      <c r="F17" s="9" t="s">
        <v>730</v>
      </c>
      <c r="G17" s="8" t="s">
        <v>684</v>
      </c>
    </row>
    <row r="18" customFormat="false" ht="34.5" hidden="false" customHeight="true" outlineLevel="0" collapsed="false">
      <c r="A18" s="8" t="s">
        <v>731</v>
      </c>
      <c r="B18" s="8" t="s">
        <v>732</v>
      </c>
      <c r="C18" s="8" t="s">
        <v>678</v>
      </c>
      <c r="D18" s="8" t="s">
        <v>52</v>
      </c>
      <c r="E18" s="8" t="s">
        <v>733</v>
      </c>
      <c r="F18" s="9" t="s">
        <v>734</v>
      </c>
      <c r="G18" s="8" t="s">
        <v>680</v>
      </c>
    </row>
    <row r="19" customFormat="false" ht="23.25" hidden="false" customHeight="true" outlineLevel="0" collapsed="false">
      <c r="A19" s="8" t="s">
        <v>735</v>
      </c>
      <c r="B19" s="8" t="s">
        <v>736</v>
      </c>
      <c r="C19" s="8" t="s">
        <v>83</v>
      </c>
      <c r="D19" s="8" t="s">
        <v>52</v>
      </c>
      <c r="E19" s="8" t="s">
        <v>215</v>
      </c>
      <c r="F19" s="9" t="s">
        <v>737</v>
      </c>
      <c r="G19" s="8" t="s">
        <v>684</v>
      </c>
    </row>
    <row r="20" customFormat="false" ht="34.5" hidden="false" customHeight="true" outlineLevel="0" collapsed="false">
      <c r="A20" s="8" t="s">
        <v>738</v>
      </c>
      <c r="B20" s="8" t="s">
        <v>739</v>
      </c>
      <c r="C20" s="8" t="s">
        <v>678</v>
      </c>
      <c r="D20" s="8" t="s">
        <v>62</v>
      </c>
      <c r="E20" s="8" t="s">
        <v>411</v>
      </c>
      <c r="F20" s="9" t="s">
        <v>740</v>
      </c>
      <c r="G20" s="8" t="s">
        <v>680</v>
      </c>
    </row>
    <row r="21" customFormat="false" ht="23.25" hidden="false" customHeight="true" outlineLevel="0" collapsed="false">
      <c r="A21" s="8" t="s">
        <v>741</v>
      </c>
      <c r="B21" s="8" t="s">
        <v>742</v>
      </c>
      <c r="C21" s="8" t="s">
        <v>743</v>
      </c>
      <c r="D21" s="8" t="s">
        <v>62</v>
      </c>
      <c r="E21" s="8" t="s">
        <v>53</v>
      </c>
      <c r="F21" s="9" t="s">
        <v>744</v>
      </c>
      <c r="G21" s="8" t="s">
        <v>684</v>
      </c>
    </row>
    <row r="22" customFormat="false" ht="23.25" hidden="false" customHeight="true" outlineLevel="0" collapsed="false">
      <c r="A22" s="8" t="s">
        <v>745</v>
      </c>
      <c r="B22" s="8" t="s">
        <v>746</v>
      </c>
      <c r="C22" s="8" t="s">
        <v>678</v>
      </c>
      <c r="D22" s="8" t="s">
        <v>62</v>
      </c>
      <c r="E22" s="8" t="s">
        <v>188</v>
      </c>
      <c r="F22" s="9" t="s">
        <v>747</v>
      </c>
      <c r="G22" s="8" t="s">
        <v>680</v>
      </c>
    </row>
    <row r="23" customFormat="false" ht="23.25" hidden="false" customHeight="true" outlineLevel="0" collapsed="false">
      <c r="A23" s="8" t="s">
        <v>748</v>
      </c>
      <c r="B23" s="8" t="s">
        <v>749</v>
      </c>
      <c r="C23" s="8" t="s">
        <v>143</v>
      </c>
      <c r="D23" s="8" t="s">
        <v>52</v>
      </c>
      <c r="E23" s="8" t="s">
        <v>188</v>
      </c>
      <c r="F23" s="9" t="s">
        <v>750</v>
      </c>
      <c r="G23" s="8" t="s">
        <v>684</v>
      </c>
    </row>
    <row r="24" customFormat="false" ht="34.5" hidden="false" customHeight="true" outlineLevel="0" collapsed="false">
      <c r="A24" s="8" t="s">
        <v>751</v>
      </c>
      <c r="B24" s="8" t="s">
        <v>752</v>
      </c>
      <c r="C24" s="8" t="s">
        <v>678</v>
      </c>
      <c r="D24" s="8" t="s">
        <v>62</v>
      </c>
      <c r="E24" s="8" t="s">
        <v>176</v>
      </c>
      <c r="F24" s="9" t="s">
        <v>753</v>
      </c>
      <c r="G24" s="8" t="s">
        <v>680</v>
      </c>
    </row>
    <row r="25" customFormat="false" ht="45.75" hidden="false" customHeight="true" outlineLevel="0" collapsed="false">
      <c r="A25" s="8" t="s">
        <v>754</v>
      </c>
      <c r="B25" s="8" t="s">
        <v>755</v>
      </c>
      <c r="C25" s="8" t="s">
        <v>678</v>
      </c>
      <c r="D25" s="8" t="s">
        <v>62</v>
      </c>
      <c r="E25" s="8" t="s">
        <v>733</v>
      </c>
      <c r="F25" s="9" t="s">
        <v>756</v>
      </c>
      <c r="G25" s="8" t="s">
        <v>680</v>
      </c>
    </row>
    <row r="26" customFormat="false" ht="23.25" hidden="false" customHeight="true" outlineLevel="0" collapsed="false">
      <c r="A26" s="8" t="s">
        <v>757</v>
      </c>
      <c r="B26" s="8" t="s">
        <v>758</v>
      </c>
      <c r="C26" s="8" t="s">
        <v>289</v>
      </c>
      <c r="D26" s="8" t="s">
        <v>52</v>
      </c>
      <c r="E26" s="8" t="s">
        <v>126</v>
      </c>
      <c r="F26" s="9" t="s">
        <v>759</v>
      </c>
      <c r="G26" s="8" t="s">
        <v>684</v>
      </c>
    </row>
    <row r="27" customFormat="false" ht="23.25" hidden="false" customHeight="true" outlineLevel="0" collapsed="false">
      <c r="A27" s="8" t="s">
        <v>760</v>
      </c>
      <c r="B27" s="8" t="s">
        <v>761</v>
      </c>
      <c r="C27" s="8" t="s">
        <v>106</v>
      </c>
      <c r="D27" s="8" t="s">
        <v>62</v>
      </c>
      <c r="E27" s="8" t="s">
        <v>188</v>
      </c>
      <c r="F27" s="9" t="s">
        <v>762</v>
      </c>
      <c r="G27" s="8" t="s">
        <v>684</v>
      </c>
    </row>
    <row r="28" customFormat="false" ht="23.25" hidden="false" customHeight="true" outlineLevel="0" collapsed="false">
      <c r="A28" s="8" t="s">
        <v>763</v>
      </c>
      <c r="B28" s="8" t="s">
        <v>764</v>
      </c>
      <c r="C28" s="8" t="s">
        <v>143</v>
      </c>
      <c r="D28" s="8" t="s">
        <v>62</v>
      </c>
      <c r="E28" s="8" t="s">
        <v>126</v>
      </c>
      <c r="F28" s="9" t="s">
        <v>765</v>
      </c>
      <c r="G28" s="8" t="s">
        <v>684</v>
      </c>
    </row>
    <row r="29" customFormat="false" ht="23.25" hidden="false" customHeight="true" outlineLevel="0" collapsed="false">
      <c r="A29" s="8" t="s">
        <v>766</v>
      </c>
      <c r="B29" s="8" t="s">
        <v>767</v>
      </c>
      <c r="C29" s="8" t="s">
        <v>476</v>
      </c>
      <c r="D29" s="8" t="s">
        <v>52</v>
      </c>
      <c r="E29" s="8" t="s">
        <v>188</v>
      </c>
      <c r="F29" s="9" t="s">
        <v>768</v>
      </c>
      <c r="G29" s="8" t="s">
        <v>684</v>
      </c>
    </row>
    <row r="30" customFormat="false" ht="23.25" hidden="false" customHeight="true" outlineLevel="0" collapsed="false">
      <c r="A30" s="8" t="s">
        <v>769</v>
      </c>
      <c r="B30" s="8" t="s">
        <v>770</v>
      </c>
      <c r="C30" s="8" t="s">
        <v>678</v>
      </c>
      <c r="D30" s="8" t="s">
        <v>62</v>
      </c>
      <c r="E30" s="8" t="s">
        <v>188</v>
      </c>
      <c r="F30" s="9" t="s">
        <v>771</v>
      </c>
      <c r="G30" s="8" t="s">
        <v>680</v>
      </c>
    </row>
  </sheetData>
  <hyperlinks>
    <hyperlink ref="F2" r:id="rId1" display="https://annuaire-entreprises.data.gouv.fr/entreprise/327234076"/>
    <hyperlink ref="F3" r:id="rId2" display="https://annuaire-entreprises.data.gouv.fr/entreprise/520078320"/>
    <hyperlink ref="F4" r:id="rId3" display="https://annuaire-entreprises.data.gouv.fr/entreprise/301572442"/>
    <hyperlink ref="F5" r:id="rId4" display="https://annuaire-entreprises.data.gouv.fr/entreprise/889282984"/>
    <hyperlink ref="F6" r:id="rId5" display="https://annuaire-entreprises.data.gouv.fr/entreprise/433116191"/>
    <hyperlink ref="F7" r:id="rId6" display="https://annuaire-entreprises.data.gouv.fr/entreprise/489686386"/>
    <hyperlink ref="F8" r:id="rId7" display="https://annuaire-entreprises.data.gouv.fr/entreprise/293301503"/>
    <hyperlink ref="F9" r:id="rId8" display="https://annuaire-entreprises.data.gouv.fr/entreprise/332303999"/>
    <hyperlink ref="F10" r:id="rId9" display="https://annuaire-entreprises.data.gouv.fr/entreprise/815150529"/>
    <hyperlink ref="F11" r:id="rId10" display="https://annuaire-entreprises.data.gouv.fr/entreprise/458201738"/>
    <hyperlink ref="F12" r:id="rId11" display="https://annuaire-entreprises.data.gouv.fr/entreprise/340113398"/>
    <hyperlink ref="F13" r:id="rId12" display="https://annuaire-entreprises.data.gouv.fr/entreprise/414973552"/>
    <hyperlink ref="F14" r:id="rId13" display="https://annuaire-entreprises.data.gouv.fr/entreprise/538295676"/>
    <hyperlink ref="F15" r:id="rId14" display="https://annuaire-entreprises.data.gouv.fr/entreprise/979977774"/>
    <hyperlink ref="F16" r:id="rId15" display="https://annuaire-entreprises.data.gouv.fr/entreprise/881890982"/>
    <hyperlink ref="F17" r:id="rId16" display="https://annuaire-entreprises.data.gouv.fr/entreprise/851970426"/>
    <hyperlink ref="F18" r:id="rId17" display="https://annuaire-entreprises.data.gouv.fr/entreprise/518002118"/>
    <hyperlink ref="F19" r:id="rId18" display="https://annuaire-entreprises.data.gouv.fr/entreprise/502061971"/>
    <hyperlink ref="F20" r:id="rId19" display="https://annuaire-entreprises.data.gouv.fr/entreprise/331386565"/>
    <hyperlink ref="F21" r:id="rId20" display="https://annuaire-entreprises.data.gouv.fr/entreprise/894596006"/>
    <hyperlink ref="F22" r:id="rId21" display="https://annuaire-entreprises.data.gouv.fr/entreprise/531583219"/>
    <hyperlink ref="F23" r:id="rId22" display="https://annuaire-entreprises.data.gouv.fr/entreprise/511963795"/>
    <hyperlink ref="F24" r:id="rId23" display="https://annuaire-entreprises.data.gouv.fr/entreprise/781861760"/>
    <hyperlink ref="F25" r:id="rId24" display="https://annuaire-entreprises.data.gouv.fr/entreprise/782001176"/>
    <hyperlink ref="F26" r:id="rId25" display="https://annuaire-entreprises.data.gouv.fr/entreprise/383482338"/>
    <hyperlink ref="F27" r:id="rId26" display="https://annuaire-entreprises.data.gouv.fr/entreprise/314467101"/>
    <hyperlink ref="F28" r:id="rId27" display="https://annuaire-entreprises.data.gouv.fr/entreprise/488470527"/>
    <hyperlink ref="F29" r:id="rId28" display="https://annuaire-entreprises.data.gouv.fr/entreprise/877643338"/>
    <hyperlink ref="F30" r:id="rId29" display="https://annuaire-entreprises.data.gouv.fr/entreprise/31812315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2026-10-20T17:19:41Z</dcterms:created>
  <dc:creator>openpyxl</dc:creator>
  <dc:description/>
  <dc:language>en-US</dc:language>
  <cp:lastModifiedBy/>
  <dcterms:modified xsi:type="dcterms:W3CDTF">2026-10-20T20:43:29Z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